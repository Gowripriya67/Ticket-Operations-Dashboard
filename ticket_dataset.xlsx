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priya\Downloads\"/>
    </mc:Choice>
  </mc:AlternateContent>
  <xr:revisionPtr revIDLastSave="0" documentId="13_ncr:1_{4A8FE60D-D621-4B4F-9278-F1B138D20D10}" xr6:coauthVersionLast="47" xr6:coauthVersionMax="47" xr10:uidLastSave="{00000000-0000-0000-0000-000000000000}"/>
  <bookViews>
    <workbookView xWindow="-120" yWindow="-120" windowWidth="29040" windowHeight="16440" tabRatio="500" xr2:uid="{00000000-000D-0000-FFFF-FFFF00000000}"/>
  </bookViews>
  <sheets>
    <sheet name="Dashboard" sheetId="4" r:id="rId1"/>
    <sheet name="Raw Data" sheetId="1" r:id="rId2"/>
    <sheet name="KPI" sheetId="5" r:id="rId3"/>
    <sheet name="Pivot Tables" sheetId="6" r:id="rId4"/>
  </sheets>
  <externalReferences>
    <externalReference r:id="rId5"/>
  </externalReferences>
  <definedNames>
    <definedName name="_xlnm._FilterDatabase" localSheetId="1" hidden="1">'Raw Data'!$A$1:$J$101</definedName>
    <definedName name="Slicer_Category">#N/A</definedName>
    <definedName name="Slicer_Priority">#N/A</definedName>
    <definedName name="Slicer_SLA_Type">#N/A</definedName>
    <definedName name="Slicer_Status">#N/A</definedName>
  </definedNames>
  <calcPr calcId="191029" iterateDelta="1E-4"/>
  <pivotCaches>
    <pivotCache cacheId="25"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4" i="5" l="1"/>
  <c r="C40" i="6"/>
  <c r="B40" i="6"/>
  <c r="C39" i="6"/>
  <c r="B39" i="6"/>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F8" i="5"/>
  <c r="F7" i="5"/>
  <c r="F6" i="5"/>
  <c r="F5" i="5"/>
  <c r="F3" i="5"/>
  <c r="F2" i="5"/>
</calcChain>
</file>

<file path=xl/sharedStrings.xml><?xml version="1.0" encoding="utf-8"?>
<sst xmlns="http://schemas.openxmlformats.org/spreadsheetml/2006/main" count="1037" uniqueCount="228">
  <si>
    <t>Ticket ID</t>
  </si>
  <si>
    <t>Date Raised</t>
  </si>
  <si>
    <t>Category</t>
  </si>
  <si>
    <t>Priority</t>
  </si>
  <si>
    <t>Status</t>
  </si>
  <si>
    <t>Reporter</t>
  </si>
  <si>
    <t>Assigned To</t>
  </si>
  <si>
    <t>SLA Type</t>
  </si>
  <si>
    <t>Resolution Date</t>
  </si>
  <si>
    <t>SLA Met</t>
  </si>
  <si>
    <t>TKT-1001</t>
  </si>
  <si>
    <t>2025-03-23</t>
  </si>
  <si>
    <t>Physical Location</t>
  </si>
  <si>
    <t>High</t>
  </si>
  <si>
    <t>Pending Reporter</t>
  </si>
  <si>
    <t>Divya R</t>
  </si>
  <si>
    <t>Rahul D</t>
  </si>
  <si>
    <t>Same-Day</t>
  </si>
  <si>
    <t>Pending</t>
  </si>
  <si>
    <t>TKT-1002</t>
  </si>
  <si>
    <t>2025-01-18</t>
  </si>
  <si>
    <t>Low</t>
  </si>
  <si>
    <t>Ravi K</t>
  </si>
  <si>
    <t>Lakshmi A</t>
  </si>
  <si>
    <t>24-Hour</t>
  </si>
  <si>
    <t>TKT-1003</t>
  </si>
  <si>
    <t>2025-01-05</t>
  </si>
  <si>
    <t>Closed</t>
  </si>
  <si>
    <t>Suresh B</t>
  </si>
  <si>
    <t>Yes</t>
  </si>
  <si>
    <t>TKT-1004</t>
  </si>
  <si>
    <t>2025-01-29</t>
  </si>
  <si>
    <t>Menu Update</t>
  </si>
  <si>
    <t>Ananya S</t>
  </si>
  <si>
    <t>TKT-1005</t>
  </si>
  <si>
    <t>2025-01-28</t>
  </si>
  <si>
    <t>Storefront</t>
  </si>
  <si>
    <t>Priya N</t>
  </si>
  <si>
    <t>GowriPriya</t>
  </si>
  <si>
    <t>No</t>
  </si>
  <si>
    <t>TKT-1006</t>
  </si>
  <si>
    <t>2025-02-03</t>
  </si>
  <si>
    <t>Open</t>
  </si>
  <si>
    <t>Manoj C</t>
  </si>
  <si>
    <t>TKT-1007</t>
  </si>
  <si>
    <t>2025-03-12</t>
  </si>
  <si>
    <t>In Review</t>
  </si>
  <si>
    <t>Karthik M</t>
  </si>
  <si>
    <t>TKT-1008</t>
  </si>
  <si>
    <t>2025-01-09</t>
  </si>
  <si>
    <t>TKT-1009</t>
  </si>
  <si>
    <t>2025-02-05</t>
  </si>
  <si>
    <t>Meena P</t>
  </si>
  <si>
    <t>Sneha V</t>
  </si>
  <si>
    <t>TKT-1010</t>
  </si>
  <si>
    <t>2025-03-31</t>
  </si>
  <si>
    <t>TKT-1011</t>
  </si>
  <si>
    <t>2025-01-21</t>
  </si>
  <si>
    <t>Medium</t>
  </si>
  <si>
    <t>TKT-1012</t>
  </si>
  <si>
    <t>2025-02-10</t>
  </si>
  <si>
    <t>TKT-1013</t>
  </si>
  <si>
    <t>2025-02-20</t>
  </si>
  <si>
    <t>TKT-1014</t>
  </si>
  <si>
    <t>2025-03-16</t>
  </si>
  <si>
    <t>TKT-1015</t>
  </si>
  <si>
    <t>2025-01-15</t>
  </si>
  <si>
    <t>Franchise Location</t>
  </si>
  <si>
    <t>TKT-1016</t>
  </si>
  <si>
    <t>2025-03-09</t>
  </si>
  <si>
    <t>TKT-1017</t>
  </si>
  <si>
    <t>Arjun T</t>
  </si>
  <si>
    <t>2025-01-16</t>
  </si>
  <si>
    <t>TKT-1018</t>
  </si>
  <si>
    <t>2025-03-06</t>
  </si>
  <si>
    <t>TKT-1019</t>
  </si>
  <si>
    <t>TKT-1020</t>
  </si>
  <si>
    <t>2025-01-31</t>
  </si>
  <si>
    <t>TKT-1021</t>
  </si>
  <si>
    <t>Account Access</t>
  </si>
  <si>
    <t>TKT-1022</t>
  </si>
  <si>
    <t>TKT-1023</t>
  </si>
  <si>
    <t>2025-03-27</t>
  </si>
  <si>
    <t>TKT-1024</t>
  </si>
  <si>
    <t>TKT-1025</t>
  </si>
  <si>
    <t>2025-01-30</t>
  </si>
  <si>
    <t>TKT-1026</t>
  </si>
  <si>
    <t>TKT-1027</t>
  </si>
  <si>
    <t>2025-02-22</t>
  </si>
  <si>
    <t>2025-02-23</t>
  </si>
  <si>
    <t>TKT-1028</t>
  </si>
  <si>
    <t>2025-01-07</t>
  </si>
  <si>
    <t>TKT-1029</t>
  </si>
  <si>
    <t>2025-01-25</t>
  </si>
  <si>
    <t>TKT-1030</t>
  </si>
  <si>
    <t>TKT-1031</t>
  </si>
  <si>
    <t>2025-01-12</t>
  </si>
  <si>
    <t>TKT-1032</t>
  </si>
  <si>
    <t>2025-02-21</t>
  </si>
  <si>
    <t>TKT-1033</t>
  </si>
  <si>
    <t>2025-02-28</t>
  </si>
  <si>
    <t>TKT-1034</t>
  </si>
  <si>
    <t>2025-02-07</t>
  </si>
  <si>
    <t>TKT-1035</t>
  </si>
  <si>
    <t>TKT-1036</t>
  </si>
  <si>
    <t>2025-01-24</t>
  </si>
  <si>
    <t>TKT-1037</t>
  </si>
  <si>
    <t>2025-02-01</t>
  </si>
  <si>
    <t>2025-02-02</t>
  </si>
  <si>
    <t>TKT-1038</t>
  </si>
  <si>
    <t>TKT-1039</t>
  </si>
  <si>
    <t>2025-01-02</t>
  </si>
  <si>
    <t>TKT-1040</t>
  </si>
  <si>
    <t>TKT-1041</t>
  </si>
  <si>
    <t>2025-03-11</t>
  </si>
  <si>
    <t>TKT-1042</t>
  </si>
  <si>
    <t>2025-03-26</t>
  </si>
  <si>
    <t>TKT-1043</t>
  </si>
  <si>
    <t>2025-02-13</t>
  </si>
  <si>
    <t>TKT-1044</t>
  </si>
  <si>
    <t>TKT-1045</t>
  </si>
  <si>
    <t>2025-01-01</t>
  </si>
  <si>
    <t>TKT-1046</t>
  </si>
  <si>
    <t>TKT-1047</t>
  </si>
  <si>
    <t>TKT-1048</t>
  </si>
  <si>
    <t>2025-02-16</t>
  </si>
  <si>
    <t>TKT-1049</t>
  </si>
  <si>
    <t>2025-03-21</t>
  </si>
  <si>
    <t>TKT-1050</t>
  </si>
  <si>
    <t>TKT-1051</t>
  </si>
  <si>
    <t>2025-01-26</t>
  </si>
  <si>
    <t>TKT-1052</t>
  </si>
  <si>
    <t>2025-02-12</t>
  </si>
  <si>
    <t>TKT-1053</t>
  </si>
  <si>
    <t>TKT-1054</t>
  </si>
  <si>
    <t>2025-02-25</t>
  </si>
  <si>
    <t>TKT-1055</t>
  </si>
  <si>
    <t>TKT-1056</t>
  </si>
  <si>
    <t>TKT-1057</t>
  </si>
  <si>
    <t>TKT-1058</t>
  </si>
  <si>
    <t>TKT-1059</t>
  </si>
  <si>
    <t>TKT-1060</t>
  </si>
  <si>
    <t>2025-03-25</t>
  </si>
  <si>
    <t>TKT-1061</t>
  </si>
  <si>
    <t>2025-01-22</t>
  </si>
  <si>
    <t>TKT-1062</t>
  </si>
  <si>
    <t>2025-03-28</t>
  </si>
  <si>
    <t>TKT-1063</t>
  </si>
  <si>
    <t>2025-03-20</t>
  </si>
  <si>
    <t>TKT-1064</t>
  </si>
  <si>
    <t>TKT-1065</t>
  </si>
  <si>
    <t>TKT-1066</t>
  </si>
  <si>
    <t>TKT-1067</t>
  </si>
  <si>
    <t>TKT-1068</t>
  </si>
  <si>
    <t>TKT-1069</t>
  </si>
  <si>
    <t>2025-01-10</t>
  </si>
  <si>
    <t>TKT-1070</t>
  </si>
  <si>
    <t>2025-02-19</t>
  </si>
  <si>
    <t>TKT-1071</t>
  </si>
  <si>
    <t>TKT-1072</t>
  </si>
  <si>
    <t>2025-03-15</t>
  </si>
  <si>
    <t>TKT-1073</t>
  </si>
  <si>
    <t>2025-03-10</t>
  </si>
  <si>
    <t>TKT-1074</t>
  </si>
  <si>
    <t>TKT-1075</t>
  </si>
  <si>
    <t>2025-01-17</t>
  </si>
  <si>
    <t>TKT-1076</t>
  </si>
  <si>
    <t>TKT-1077</t>
  </si>
  <si>
    <t>TKT-1078</t>
  </si>
  <si>
    <t>2025-01-03</t>
  </si>
  <si>
    <t>TKT-1079</t>
  </si>
  <si>
    <t>TKT-1080</t>
  </si>
  <si>
    <t>TKT-1081</t>
  </si>
  <si>
    <t>2025-02-09</t>
  </si>
  <si>
    <t>TKT-1082</t>
  </si>
  <si>
    <t>TKT-1083</t>
  </si>
  <si>
    <t>2025-03-29</t>
  </si>
  <si>
    <t>TKT-1084</t>
  </si>
  <si>
    <t>TKT-1085</t>
  </si>
  <si>
    <t>2025-03-04</t>
  </si>
  <si>
    <t>TKT-1086</t>
  </si>
  <si>
    <t>TKT-1087</t>
  </si>
  <si>
    <t>2025-03-17</t>
  </si>
  <si>
    <t>TKT-1088</t>
  </si>
  <si>
    <t>2025-03-14</t>
  </si>
  <si>
    <t>TKT-1089</t>
  </si>
  <si>
    <t>2025-02-11</t>
  </si>
  <si>
    <t>TKT-1090</t>
  </si>
  <si>
    <t>TKT-1091</t>
  </si>
  <si>
    <t>2025-03-13</t>
  </si>
  <si>
    <t>TKT-1092</t>
  </si>
  <si>
    <t>TKT-1093</t>
  </si>
  <si>
    <t>2025-03-02</t>
  </si>
  <si>
    <t>TKT-1094</t>
  </si>
  <si>
    <t>2025-02-04</t>
  </si>
  <si>
    <t>TKT-1095</t>
  </si>
  <si>
    <t>2025-03-30</t>
  </si>
  <si>
    <t>TKT-1096</t>
  </si>
  <si>
    <t>TKT-1097</t>
  </si>
  <si>
    <t>TKT-1098</t>
  </si>
  <si>
    <t>2025-03-03</t>
  </si>
  <si>
    <t>TKT-1099</t>
  </si>
  <si>
    <t>TKT-1100</t>
  </si>
  <si>
    <t>Total Tickets</t>
  </si>
  <si>
    <t>Closed Tickets</t>
  </si>
  <si>
    <t>SLA Met %</t>
  </si>
  <si>
    <t>Row Labels</t>
  </si>
  <si>
    <t>Grand Total</t>
  </si>
  <si>
    <t>Count of Ticket ID</t>
  </si>
  <si>
    <t>Column Labels</t>
  </si>
  <si>
    <t>Assignee Workload</t>
  </si>
  <si>
    <t>Jan – Mar 2025  |  UberEats Support Operations  |  Built by: GowriPriya</t>
  </si>
  <si>
    <t>Resolution Rate %</t>
  </si>
  <si>
    <t>Open/Pending</t>
  </si>
  <si>
    <t>Same-Day SLA Met</t>
  </si>
  <si>
    <t>24-Hour SLA Met</t>
  </si>
  <si>
    <t>Month</t>
  </si>
  <si>
    <t>SLA Result</t>
  </si>
  <si>
    <t>Ticket Status Count</t>
  </si>
  <si>
    <t>SLA Met vs Breached by SLA Type</t>
  </si>
  <si>
    <t>Category × Priority Breakdown</t>
  </si>
  <si>
    <t>Top Reporters by Volume</t>
  </si>
  <si>
    <t>Met</t>
  </si>
  <si>
    <t>Breached</t>
  </si>
  <si>
    <t>Same-Day SLA</t>
  </si>
  <si>
    <t>24-Hour SLA</t>
  </si>
  <si>
    <t>Designed a 5-KPI summary panel consolidating 7 metrics into a clean, readable layout using linked text boxes and dynamic formulas</t>
  </si>
  <si>
    <t xml:space="preserve">TICKET OPERATIONS DASHBOARD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</si>
</sst>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3" x14ac:knownFonts="1">
    <font>
      <sz val="11"/>
      <color theme="1"/>
      <name val="Calibri"/>
      <family val="2"/>
      <charset val="1"/>
    </font>
    <font>
      <b/>
      <sz val="11"/>
      <color rgb="FFFFFFFF"/>
      <name val="Arial"/>
      <charset val="1"/>
    </font>
    <font>
      <sz val="10"/>
      <name val="Arial"/>
      <charset val="1"/>
    </font>
    <font>
      <b/>
      <sz val="10"/>
      <name val="Arial"/>
      <charset val="1"/>
    </font>
    <font>
      <b/>
      <sz val="16"/>
      <color theme="1"/>
      <name val="Calibri"/>
      <family val="2"/>
    </font>
    <font>
      <b/>
      <sz val="18"/>
      <color theme="1"/>
      <name val="Calibri"/>
      <family val="2"/>
    </font>
    <font>
      <b/>
      <sz val="11"/>
      <color rgb="FFFFFFFF"/>
      <name val="Arial"/>
      <family val="2"/>
    </font>
    <font>
      <sz val="14"/>
      <color theme="1"/>
      <name val="Calibri"/>
      <family val="2"/>
      <charset val="1"/>
    </font>
    <font>
      <b/>
      <sz val="18"/>
      <color theme="0"/>
      <name val="Calibri"/>
      <family val="2"/>
    </font>
    <font>
      <b/>
      <i/>
      <sz val="10"/>
      <color theme="0"/>
      <name val="Calibri"/>
      <family val="2"/>
    </font>
    <font>
      <b/>
      <i/>
      <sz val="10"/>
      <color theme="1"/>
      <name val="Calibri"/>
      <family val="2"/>
    </font>
    <font>
      <sz val="10"/>
      <name val="Arial"/>
      <family val="2"/>
    </font>
    <font>
      <b/>
      <sz val="10"/>
      <color theme="0"/>
      <name val="Calibri"/>
      <family val="2"/>
    </font>
  </fonts>
  <fills count="13">
    <fill>
      <patternFill patternType="none"/>
    </fill>
    <fill>
      <patternFill patternType="gray125"/>
    </fill>
    <fill>
      <patternFill patternType="solid">
        <fgColor rgb="FF1F4E79"/>
        <bgColor rgb="FF003366"/>
      </patternFill>
    </fill>
    <fill>
      <patternFill patternType="solid">
        <fgColor rgb="FFDDEEFF"/>
        <bgColor rgb="FFCCFFFF"/>
      </patternFill>
    </fill>
    <fill>
      <patternFill patternType="solid">
        <fgColor rgb="FFFF4C4C"/>
        <bgColor rgb="FFFF8080"/>
      </patternFill>
    </fill>
    <fill>
      <patternFill patternType="solid">
        <fgColor rgb="FFFFEB9C"/>
        <bgColor rgb="FFFFFFCC"/>
      </patternFill>
    </fill>
    <fill>
      <patternFill patternType="solid">
        <fgColor rgb="FFFFFFFF"/>
        <bgColor rgb="FFFFFFCC"/>
      </patternFill>
    </fill>
    <fill>
      <patternFill patternType="solid">
        <fgColor rgb="FF70AD47"/>
        <bgColor rgb="FF339966"/>
      </patternFill>
    </fill>
    <fill>
      <patternFill patternType="solid">
        <fgColor rgb="FFC6EFCE"/>
        <bgColor rgb="FFDDEEFF"/>
      </patternFill>
    </fill>
    <fill>
      <patternFill patternType="solid">
        <fgColor rgb="FFFFC7CE"/>
        <bgColor rgb="FFFFEB9C"/>
      </patternFill>
    </fill>
    <fill>
      <patternFill patternType="solid">
        <fgColor rgb="FFFFA500"/>
        <bgColor rgb="FFFFCC00"/>
      </patternFill>
    </fill>
    <fill>
      <patternFill patternType="solid">
        <fgColor theme="3" tint="-0.499984740745262"/>
        <bgColor indexed="64"/>
      </patternFill>
    </fill>
    <fill>
      <patternFill patternType="solid">
        <fgColor theme="3" tint="-0.249977111117893"/>
        <bgColor indexed="64"/>
      </patternFill>
    </fill>
  </fills>
  <borders count="7">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right style="thin">
        <color rgb="FFBFBFBF"/>
      </right>
      <top style="thin">
        <color rgb="FFBFBFBF"/>
      </top>
      <bottom/>
      <diagonal/>
    </border>
    <border>
      <left style="thin">
        <color rgb="FFBFBFBF"/>
      </left>
      <right style="thin">
        <color rgb="FFBFBFBF"/>
      </right>
      <top style="thin">
        <color rgb="FFBFBFBF"/>
      </top>
      <bottom/>
      <diagonal/>
    </border>
  </borders>
  <cellStyleXfs count="1">
    <xf numFmtId="0" fontId="0" fillId="0" borderId="0"/>
  </cellStyleXfs>
  <cellXfs count="35">
    <xf numFmtId="0" fontId="0" fillId="0" borderId="0" xfId="0"/>
    <xf numFmtId="0" fontId="2" fillId="3" borderId="1" xfId="0" applyFont="1" applyFill="1" applyBorder="1" applyAlignment="1">
      <alignment horizontal="center" vertical="center"/>
    </xf>
    <xf numFmtId="0" fontId="3"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2" fillId="6" borderId="1" xfId="0" applyFont="1" applyFill="1" applyBorder="1" applyAlignment="1">
      <alignment horizontal="center" vertical="center"/>
    </xf>
    <xf numFmtId="0" fontId="3" fillId="7" borderId="1" xfId="0" applyFont="1" applyFill="1" applyBorder="1" applyAlignment="1">
      <alignment horizontal="center" vertical="center"/>
    </xf>
    <xf numFmtId="0" fontId="2" fillId="8" borderId="1" xfId="0" applyFont="1" applyFill="1" applyBorder="1" applyAlignment="1">
      <alignment horizontal="center" vertical="center"/>
    </xf>
    <xf numFmtId="0" fontId="2" fillId="9" borderId="1" xfId="0" applyFont="1" applyFill="1" applyBorder="1" applyAlignment="1">
      <alignment horizontal="center" vertical="center"/>
    </xf>
    <xf numFmtId="0" fontId="3" fillId="10" borderId="1" xfId="0" applyFont="1" applyFill="1" applyBorder="1" applyAlignment="1">
      <alignment horizontal="center" vertical="center"/>
    </xf>
    <xf numFmtId="0" fontId="4" fillId="0" borderId="0" xfId="0" applyFont="1"/>
    <xf numFmtId="0" fontId="5" fillId="0" borderId="0" xfId="0" applyFont="1"/>
    <xf numFmtId="9" fontId="0" fillId="0" borderId="0" xfId="0" applyNumberFormat="1"/>
    <xf numFmtId="0" fontId="2" fillId="3" borderId="2" xfId="0" applyFont="1" applyFill="1" applyBorder="1" applyAlignment="1">
      <alignment horizontal="center" vertical="center"/>
    </xf>
    <xf numFmtId="0" fontId="2" fillId="6"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2" fillId="6" borderId="5" xfId="0" applyFont="1" applyFill="1" applyBorder="1" applyAlignment="1">
      <alignment horizontal="center" vertical="center"/>
    </xf>
    <xf numFmtId="0" fontId="2" fillId="6" borderId="6" xfId="0" applyFont="1" applyFill="1" applyBorder="1" applyAlignment="1">
      <alignment horizontal="center" vertical="center"/>
    </xf>
    <xf numFmtId="0" fontId="3" fillId="4" borderId="6" xfId="0" applyFont="1" applyFill="1" applyBorder="1" applyAlignment="1">
      <alignment horizontal="center" vertical="center"/>
    </xf>
    <xf numFmtId="0" fontId="2" fillId="8" borderId="6" xfId="0" applyFont="1" applyFill="1" applyBorder="1" applyAlignment="1">
      <alignment horizontal="center" vertical="center"/>
    </xf>
    <xf numFmtId="0" fontId="0" fillId="0" borderId="0" xfId="0" pivotButton="1"/>
    <xf numFmtId="0" fontId="0" fillId="0" borderId="0" xfId="0" applyAlignment="1">
      <alignment horizontal="left"/>
    </xf>
    <xf numFmtId="0" fontId="0" fillId="11" borderId="0" xfId="0" applyFill="1"/>
    <xf numFmtId="0" fontId="7" fillId="11" borderId="0" xfId="0" applyFont="1" applyFill="1"/>
    <xf numFmtId="0" fontId="8" fillId="12" borderId="0" xfId="0" applyFont="1" applyFill="1" applyAlignment="1">
      <alignment horizontal="center" vertical="center"/>
    </xf>
    <xf numFmtId="0" fontId="9" fillId="12" borderId="0" xfId="0" applyFont="1" applyFill="1" applyAlignment="1">
      <alignment horizontal="center"/>
    </xf>
    <xf numFmtId="0" fontId="10" fillId="12" borderId="0" xfId="0" applyFont="1" applyFill="1" applyAlignment="1">
      <alignment horizontal="center"/>
    </xf>
    <xf numFmtId="0" fontId="11" fillId="6" borderId="1" xfId="0" applyFont="1" applyFill="1" applyBorder="1" applyAlignment="1">
      <alignment horizontal="center" vertical="center"/>
    </xf>
    <xf numFmtId="0" fontId="11" fillId="6" borderId="4" xfId="0" applyFont="1" applyFill="1" applyBorder="1" applyAlignment="1">
      <alignment horizontal="center" vertical="center"/>
    </xf>
    <xf numFmtId="0" fontId="11" fillId="6" borderId="6" xfId="0" applyFont="1" applyFill="1" applyBorder="1" applyAlignment="1">
      <alignment horizontal="center" vertical="center"/>
    </xf>
    <xf numFmtId="0" fontId="6" fillId="2" borderId="4" xfId="0" applyFont="1" applyFill="1" applyBorder="1" applyAlignment="1">
      <alignment horizontal="center" vertical="center"/>
    </xf>
    <xf numFmtId="0" fontId="0" fillId="0" borderId="0" xfId="0" applyNumberFormat="1"/>
    <xf numFmtId="0" fontId="0" fillId="11" borderId="0" xfId="0" applyFill="1" applyAlignment="1">
      <alignment horizontal="center"/>
    </xf>
    <xf numFmtId="0" fontId="8" fillId="12" borderId="0" xfId="0" applyFont="1" applyFill="1" applyAlignment="1">
      <alignment vertical="center"/>
    </xf>
    <xf numFmtId="0" fontId="12" fillId="12" borderId="0" xfId="0" applyFont="1" applyFill="1" applyAlignment="1">
      <alignment horizontal="center" vertical="center"/>
    </xf>
  </cellXfs>
  <cellStyles count="1">
    <cellStyle name="Normal" xfId="0" builtinId="0"/>
  </cellStyles>
  <dxfs count="22">
    <dxf/>
    <dxf>
      <font>
        <b/>
        <i val="0"/>
        <sz val="12"/>
        <color theme="0"/>
        <name val="Calibri"/>
        <family val="2"/>
        <scheme val="minor"/>
      </font>
      <fill>
        <patternFill patternType="solid">
          <fgColor auto="1"/>
          <bgColor theme="3" tint="-0.499984740745262"/>
        </patternFill>
      </fill>
      <border>
        <left style="medium">
          <color auto="1"/>
        </left>
        <right style="medium">
          <color auto="1"/>
        </right>
        <top style="medium">
          <color auto="1"/>
        </top>
        <bottom style="medium">
          <color auto="1"/>
        </bottom>
      </border>
    </dxf>
    <dxf>
      <font>
        <b/>
        <i val="0"/>
        <sz val="9"/>
        <color theme="0"/>
        <name val="Calibri"/>
        <family val="2"/>
        <scheme val="minor"/>
      </font>
    </dxf>
    <dxf>
      <font>
        <color theme="0"/>
      </font>
    </dxf>
    <dxf>
      <fill>
        <patternFill>
          <bgColor theme="3" tint="-0.499984740745262"/>
        </patternFill>
      </fill>
    </dxf>
    <dxf>
      <fill>
        <patternFill>
          <bgColor theme="3" tint="-0.499984740745262"/>
        </patternFill>
      </fill>
    </dxf>
    <dxf>
      <font>
        <b val="0"/>
        <i val="0"/>
        <strike val="0"/>
        <condense val="0"/>
        <extend val="0"/>
        <outline val="0"/>
        <shadow val="0"/>
        <u val="none"/>
        <vertAlign val="baseline"/>
        <sz val="10"/>
        <color auto="1"/>
        <name val="Arial"/>
        <charset val="1"/>
        <scheme val="none"/>
      </font>
      <numFmt numFmtId="0" formatCode="General"/>
      <fill>
        <patternFill patternType="solid">
          <fgColor rgb="FFFFFFCC"/>
          <bgColor rgb="FFFFFFFF"/>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numFmt numFmtId="0" formatCode="General"/>
      <fill>
        <patternFill patternType="solid">
          <fgColor rgb="FFFFFFCC"/>
          <bgColor rgb="FFFFFFFF"/>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fill>
        <patternFill patternType="solid">
          <fgColor rgb="FFDDEEFF"/>
          <bgColor rgb="FFC6EFCE"/>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fill>
        <patternFill patternType="solid">
          <fgColor rgb="FFFFFFCC"/>
          <bgColor rgb="FFFFFFFF"/>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fill>
        <patternFill patternType="solid">
          <fgColor rgb="FFFFFFCC"/>
          <bgColor rgb="FFFFFFFF"/>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fill>
        <patternFill patternType="solid">
          <fgColor rgb="FFFFFFCC"/>
          <bgColor rgb="FFFFFFFF"/>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fill>
        <patternFill patternType="solid">
          <fgColor rgb="FFFFFFCC"/>
          <bgColor rgb="FFFFFFFF"/>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fill>
        <patternFill patternType="solid">
          <fgColor rgb="FFFFFFCC"/>
          <bgColor rgb="FFFFFFFF"/>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fill>
        <patternFill patternType="solid">
          <fgColor rgb="FFFFFFCC"/>
          <bgColor rgb="FFFFFFFF"/>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fill>
        <patternFill patternType="solid">
          <fgColor rgb="FFFFFFCC"/>
          <bgColor rgb="FFFFFFFF"/>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fill>
        <patternFill patternType="solid">
          <fgColor rgb="FFFFFFCC"/>
          <bgColor rgb="FFFFFFFF"/>
        </patternFill>
      </fill>
      <alignment horizontal="center" vertical="center" textRotation="0" wrapText="0"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Arial"/>
        <charset val="1"/>
        <scheme val="none"/>
      </font>
      <fill>
        <patternFill patternType="solid">
          <fgColor rgb="FFFFFFCC"/>
          <bgColor rgb="FFFFFFFF"/>
        </patternFill>
      </fill>
      <alignment horizontal="center" vertical="center" textRotation="0" wrapText="0" indent="0" justifyLastLine="0" shrinkToFit="0" readingOrder="0"/>
    </dxf>
    <dxf>
      <border outline="0">
        <bottom style="thin">
          <color rgb="FFBFBFBF"/>
        </bottom>
      </border>
    </dxf>
    <dxf>
      <font>
        <b/>
        <i val="0"/>
        <strike val="0"/>
        <condense val="0"/>
        <extend val="0"/>
        <outline val="0"/>
        <shadow val="0"/>
        <u val="none"/>
        <vertAlign val="baseline"/>
        <sz val="11"/>
        <color rgb="FFFFFFFF"/>
        <name val="Arial"/>
        <charset val="1"/>
        <scheme val="none"/>
      </font>
      <fill>
        <patternFill patternType="solid">
          <fgColor rgb="FF003366"/>
          <bgColor rgb="FF1F4E79"/>
        </patternFill>
      </fill>
      <alignment horizontal="center" vertical="center" textRotation="0" wrapText="0" indent="0" justifyLastLine="0" shrinkToFit="0" readingOrder="0"/>
      <border diagonalUp="0" diagonalDown="0" outline="0">
        <left style="thin">
          <color rgb="FFBFBFBF"/>
        </left>
        <right style="thin">
          <color rgb="FFBFBFBF"/>
        </right>
        <top/>
        <bottom/>
      </border>
    </dxf>
  </dxfs>
  <tableStyles count="11" defaultTableStyle="TableStyleMedium2" defaultPivotStyle="PivotStyleLight16">
    <tableStyle name="dashboard Style" pivot="0" table="0" count="1" xr9:uid="{7DD77350-4C68-4EF7-B455-A7D7AF91F708}">
      <tableStyleElement type="wholeTable" dxfId="0"/>
    </tableStyle>
    <tableStyle name="Slicer Style 1" pivot="0" table="0" count="1" xr9:uid="{3FA1BFDB-3AF8-4F6F-AF80-B223884F4034}"/>
    <tableStyle name="Slicer Style 11" pivot="0" table="0" count="1" xr9:uid="{DE031B6A-4A09-423F-BF9E-6C067B768400}">
      <tableStyleElement type="wholeTable" dxfId="1"/>
    </tableStyle>
    <tableStyle name="Slicer Style 2" pivot="0" table="0" count="1" xr9:uid="{7A2AAE99-E7D3-4C4D-9557-D02A05897535}"/>
    <tableStyle name="Slicer Style 3" pivot="0" table="0" count="1" xr9:uid="{C4F44D81-8023-4FC6-8FBC-7C42A93918CB}"/>
    <tableStyle name="Slicer Style 4" pivot="0" table="0" count="1" xr9:uid="{E86068CF-2175-4BED-A829-8071FD7402DA}">
      <tableStyleElement type="headerRow" dxfId="5"/>
    </tableStyle>
    <tableStyle name="Slicer Style 5" pivot="0" table="0" count="1" xr9:uid="{2120E490-4F04-429C-8342-26FB0536826B}">
      <tableStyleElement type="wholeTable" dxfId="4"/>
    </tableStyle>
    <tableStyle name="Slicer Style 6" pivot="0" table="0" count="0" xr9:uid="{4BD78233-54A3-4DEA-BB08-A6F1B1E7BC3A}"/>
    <tableStyle name="Slicer Style 7" pivot="0" table="0" count="0" xr9:uid="{B025F6D6-1604-4979-9106-640AF5F00D94}"/>
    <tableStyle name="Slicer Style 8" pivot="0" table="0" count="1" xr9:uid="{67FA3650-4B02-4C6D-8415-C871A71019A7}">
      <tableStyleElement type="wholeTable" dxfId="3"/>
    </tableStyle>
    <tableStyle name="Slicer Style 9" pivot="0" table="0" count="1" xr9:uid="{69646288-82DF-493E-B63C-27188E268F1C}">
      <tableStyleElement type="wholeTable" dxfId="2"/>
    </tableStyle>
  </table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DDEE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A500"/>
      <rgbColor rgb="FFFF4C4C"/>
      <rgbColor rgb="FF666699"/>
      <rgbColor rgb="FF70AD47"/>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46F421CA-312F-682f-3DD2-61675219B42D}">
      <x14:dxfs count="3">
        <dxf>
          <font>
            <color theme="0"/>
          </font>
          <border diagonalUp="0" diagonalDown="0">
            <left style="medium">
              <color theme="1" tint="0.34998626667073579"/>
            </left>
            <right style="medium">
              <color theme="1" tint="0.34998626667073579"/>
            </right>
            <top style="medium">
              <color theme="1" tint="0.34998626667073579"/>
            </top>
            <bottom style="medium">
              <color theme="1" tint="0.34998626667073579"/>
            </bottom>
            <vertical/>
            <horizontal/>
          </border>
        </dxf>
        <dxf>
          <fill>
            <patternFill>
              <bgColor theme="3" tint="-0.499984740745262"/>
            </patternFill>
          </fill>
        </dxf>
        <dxf>
          <fill>
            <patternFill>
              <bgColor theme="3" tint="-0.499984740745262"/>
            </patternFill>
          </fill>
        </dxf>
      </x14:dxfs>
    </ext>
    <ext xmlns:x14="http://schemas.microsoft.com/office/spreadsheetml/2009/9/main" uri="{EB79DEF2-80B8-43e5-95BD-54CBDDF9020C}">
      <x14:slicerStyles defaultSlicerStyle="SlicerStyleLight1">
        <x14:slicerStyle name="dashboard Style"/>
        <x14:slicerStyle name="Slicer Style 1">
          <x14:slicerStyleElements>
            <x14:slicerStyleElement type="unselectedItemWithData" dxfId="0"/>
          </x14:slicerStyleElements>
        </x14:slicerStyle>
        <x14:slicerStyle name="Slicer Style 11"/>
        <x14:slicerStyle name="Slicer Style 2">
          <x14:slicerStyleElements>
            <x14:slicerStyleElement type="selectedItemWithNoData" dxfId="2"/>
          </x14:slicerStyleElements>
        </x14:slicerStyle>
        <x14:slicerStyle name="Slicer Style 3">
          <x14:slicerStyleElements>
            <x14:slicerStyleElement type="unselectedItemWithNoData" dxfId="1"/>
          </x14:slicerStyleElements>
        </x14:slicerStyle>
        <x14:slicerStyle name="Slicer Style 4"/>
        <x14:slicerStyle name="Slicer Style 5"/>
        <x14:slicerStyle name="Slicer Style 6"/>
        <x14:slicerStyle name="Slicer Style 7"/>
        <x14:slicerStyle name="Slicer Style 8"/>
        <x14:slicerStyle name="Slicer Style 9"/>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externalLink" Target="externalLinks/externalLink1.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[ticket_dataset.xlsx]Pivot Tables!PivotTable1</c:name>
    <c:fmtId val="5"/>
  </c:pivotSource>
  <c:chart>
    <c:title>
      <c:tx>
        <c:rich>
          <a:bodyPr rot="0" spcFirstLastPara="1" vertOverflow="ellipsis" vert="horz" wrap="square" anchor="ctr" anchorCtr="1"/>
          <a:lstStyle/>
          <a:p>
            <a:pPr>
              <a:defRPr sz="1400" b="1" i="0" u="none" strike="noStrike" kern="1200" cap="all" spc="50" baseline="0">
                <a:solidFill>
                  <a:schemeClr val="tx1"/>
                </a:solidFill>
                <a:latin typeface="+mn-lt"/>
                <a:ea typeface="+mn-ea"/>
                <a:cs typeface="+mn-cs"/>
              </a:defRPr>
            </a:pPr>
            <a:r>
              <a:rPr lang="en-US">
                <a:solidFill>
                  <a:schemeClr val="tx1"/>
                </a:solidFill>
              </a:rPr>
              <a:t>Total Status Count</a:t>
            </a:r>
          </a:p>
        </c:rich>
      </c:tx>
      <c:layout>
        <c:manualLayout>
          <c:xMode val="edge"/>
          <c:yMode val="edge"/>
          <c:x val="0.2412731883090885"/>
          <c:y val="2.6171163473121279E-2"/>
        </c:manualLayout>
      </c:layout>
      <c:overlay val="0"/>
      <c:spPr>
        <a:noFill/>
        <a:ln>
          <a:noFill/>
        </a:ln>
        <a:effectLst/>
      </c:sp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tx2">
              <a:lumMod val="75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22967934377330351"/>
              <c:y val="-5.4757003938192706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2">
              <a:lumMod val="75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2237136465324385"/>
              <c:y val="2.19028015752769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3">
              <a:lumMod val="75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5510812826249068"/>
              <c:y val="-2.737850196909635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4">
              <a:lumMod val="75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22669649515287099"/>
              <c:y val="-6.023270433201197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tx2">
              <a:lumMod val="75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22967934377330351"/>
              <c:y val="-5.4757003938192706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2">
              <a:lumMod val="75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2237136465324385"/>
              <c:y val="2.19028015752769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3">
              <a:lumMod val="75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5510812826249068"/>
              <c:y val="-2.737850196909635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4">
              <a:lumMod val="75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22669649515287099"/>
              <c:y val="-6.023270433201197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2"/>
        <c:spPr>
          <a:solidFill>
            <a:schemeClr val="tx2">
              <a:lumMod val="75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22967934377330351"/>
              <c:y val="-5.4757003938192706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3"/>
        <c:spPr>
          <a:solidFill>
            <a:schemeClr val="accent2">
              <a:lumMod val="75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2237136465324385"/>
              <c:y val="2.19028015752769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4"/>
        <c:spPr>
          <a:solidFill>
            <a:schemeClr val="accent3">
              <a:lumMod val="75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5510812826249068"/>
              <c:y val="-2.737850196909635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5"/>
        <c:spPr>
          <a:solidFill>
            <a:schemeClr val="accent4">
              <a:lumMod val="75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22669649515287099"/>
              <c:y val="-6.023270433201197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6"/>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7"/>
        <c:spPr>
          <a:solidFill>
            <a:schemeClr val="tx2">
              <a:lumMod val="75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9.0319557512938006E-2"/>
              <c:y val="0.2128867580060939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8"/>
        <c:spPr>
          <a:solidFill>
            <a:schemeClr val="accent2">
              <a:lumMod val="75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6405667412378822"/>
              <c:y val="1.642710118145771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9"/>
        <c:spPr>
          <a:solidFill>
            <a:schemeClr val="accent3">
              <a:lumMod val="75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15510812826249068"/>
              <c:y val="-2.737850196909635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0"/>
        <c:spPr>
          <a:solidFill>
            <a:schemeClr val="accent4">
              <a:lumMod val="75000"/>
            </a:schemeClr>
          </a:solidFill>
          <a:ln>
            <a:noFill/>
          </a:ln>
          <a:effectLst/>
          <a:scene3d>
            <a:camera prst="orthographicFront"/>
            <a:lightRig rig="brightRoom" dir="t"/>
          </a:scene3d>
          <a:sp3d prstMaterial="flat">
            <a:bevelT w="50800" h="101600" prst="angle"/>
            <a:contourClr>
              <a:srgbClr val="000000"/>
            </a:contourClr>
          </a:sp3d>
        </c:spPr>
        <c:dLbl>
          <c:idx val="0"/>
          <c:layout>
            <c:manualLayout>
              <c:x val="-0.22669649515287099"/>
              <c:y val="-6.023270433201197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1467354716253689"/>
          <c:y val="0.24281556493866477"/>
          <c:w val="0.34293293875178354"/>
          <c:h val="0.62953178881215244"/>
        </c:manualLayout>
      </c:layout>
      <c:doughnutChart>
        <c:varyColors val="1"/>
        <c:ser>
          <c:idx val="0"/>
          <c:order val="0"/>
          <c:tx>
            <c:strRef>
              <c:f>'Pivot Tables'!$B$4</c:f>
              <c:strCache>
                <c:ptCount val="1"/>
                <c:pt idx="0">
                  <c:v>Total</c:v>
                </c:pt>
              </c:strCache>
            </c:strRef>
          </c:tx>
          <c:dPt>
            <c:idx val="0"/>
            <c:bubble3D val="0"/>
            <c:spPr>
              <a:solidFill>
                <a:schemeClr val="tx2">
                  <a:lumMod val="7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7397-407A-9AAC-8633EA52ED8C}"/>
              </c:ext>
            </c:extLst>
          </c:dPt>
          <c:dPt>
            <c:idx val="1"/>
            <c:bubble3D val="0"/>
            <c:spPr>
              <a:solidFill>
                <a:schemeClr val="accent2">
                  <a:lumMod val="7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7397-407A-9AAC-8633EA52ED8C}"/>
              </c:ext>
            </c:extLst>
          </c:dPt>
          <c:dPt>
            <c:idx val="2"/>
            <c:bubble3D val="0"/>
            <c:spPr>
              <a:solidFill>
                <a:schemeClr val="accent3">
                  <a:lumMod val="7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7397-407A-9AAC-8633EA52ED8C}"/>
              </c:ext>
            </c:extLst>
          </c:dPt>
          <c:dPt>
            <c:idx val="3"/>
            <c:bubble3D val="0"/>
            <c:spPr>
              <a:solidFill>
                <a:schemeClr val="accent4">
                  <a:lumMod val="7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1-7397-407A-9AAC-8633EA52ED8C}"/>
              </c:ext>
            </c:extLst>
          </c:dPt>
          <c:dLbls>
            <c:dLbl>
              <c:idx val="0"/>
              <c:layout>
                <c:manualLayout>
                  <c:x val="9.0319557512938006E-2"/>
                  <c:y val="0.2128867580060939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B-7397-407A-9AAC-8633EA52ED8C}"/>
                </c:ext>
              </c:extLst>
            </c:dLbl>
            <c:dLbl>
              <c:idx val="1"/>
              <c:layout>
                <c:manualLayout>
                  <c:x val="-0.16405667412378822"/>
                  <c:y val="1.642710118145771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D-7397-407A-9AAC-8633EA52ED8C}"/>
                </c:ext>
              </c:extLst>
            </c:dLbl>
            <c:dLbl>
              <c:idx val="2"/>
              <c:layout>
                <c:manualLayout>
                  <c:x val="-0.15510812826249068"/>
                  <c:y val="-2.737850196909635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F-7397-407A-9AAC-8633EA52ED8C}"/>
                </c:ext>
              </c:extLst>
            </c:dLbl>
            <c:dLbl>
              <c:idx val="3"/>
              <c:layout>
                <c:manualLayout>
                  <c:x val="-0.22669649515287099"/>
                  <c:y val="-6.023270433201197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1-7397-407A-9AAC-8633EA52ED8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88900" cap="flat" cmpd="sng" algn="ctr">
                  <a:solidFill>
                    <a:schemeClr val="accent4">
                      <a:lumMod val="50000"/>
                    </a:schemeClr>
                  </a:solidFill>
                  <a:round/>
                </a:ln>
                <a:effectLst>
                  <a:softEdge rad="31750"/>
                </a:effectLst>
              </c:spPr>
            </c:leaderLines>
            <c:extLst>
              <c:ext xmlns:c15="http://schemas.microsoft.com/office/drawing/2012/chart" uri="{CE6537A1-D6FC-4f65-9D91-7224C49458BB}"/>
            </c:extLst>
          </c:dLbls>
          <c:cat>
            <c:strRef>
              <c:f>'Pivot Tables'!$A$5:$A$9</c:f>
              <c:strCache>
                <c:ptCount val="4"/>
                <c:pt idx="0">
                  <c:v>Closed</c:v>
                </c:pt>
                <c:pt idx="1">
                  <c:v>In Review</c:v>
                </c:pt>
                <c:pt idx="2">
                  <c:v>Open</c:v>
                </c:pt>
                <c:pt idx="3">
                  <c:v>Pending Reporter</c:v>
                </c:pt>
              </c:strCache>
            </c:strRef>
          </c:cat>
          <c:val>
            <c:numRef>
              <c:f>'Pivot Tables'!$B$5:$B$9</c:f>
              <c:numCache>
                <c:formatCode>General</c:formatCode>
                <c:ptCount val="4"/>
                <c:pt idx="0">
                  <c:v>56</c:v>
                </c:pt>
                <c:pt idx="1">
                  <c:v>12</c:v>
                </c:pt>
                <c:pt idx="2">
                  <c:v>17</c:v>
                </c:pt>
                <c:pt idx="3">
                  <c:v>15</c:v>
                </c:pt>
              </c:numCache>
            </c:numRef>
          </c:val>
          <c:extLst>
            <c:ext xmlns:c16="http://schemas.microsoft.com/office/drawing/2014/chart" uri="{C3380CC4-5D6E-409C-BE32-E72D297353CC}">
              <c16:uniqueId val="{00000012-7397-407A-9AAC-8633EA52ED8C}"/>
            </c:ext>
          </c:extLst>
        </c:ser>
        <c:dLbls>
          <c:showLegendKey val="0"/>
          <c:showVal val="1"/>
          <c:showCatName val="0"/>
          <c:showSerName val="0"/>
          <c:showPercent val="0"/>
          <c:showBubbleSize val="0"/>
          <c:showLeaderLines val="1"/>
        </c:dLbls>
        <c:firstSliceAng val="0"/>
        <c:holeSize val="50"/>
      </c:doughnutChart>
    </c:plotArea>
    <c:legend>
      <c:legendPos val="r"/>
      <c:layout>
        <c:manualLayout>
          <c:xMode val="edge"/>
          <c:yMode val="edge"/>
          <c:x val="0.62192090395480226"/>
          <c:y val="0.2609868868038564"/>
          <c:w val="0.32911487758945379"/>
          <c:h val="0.40583383004530843"/>
        </c:manualLayout>
      </c:layout>
      <c:overlay val="0"/>
    </c:legend>
    <c:plotVisOnly val="1"/>
    <c:dispBlanksAs val="gap"/>
    <c:showDLblsOverMax val="0"/>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noFill/>
      <a:round/>
    </a:ln>
    <a:effectLst>
      <a:glow rad="63500">
        <a:schemeClr val="accent2">
          <a:satMod val="175000"/>
          <a:alpha val="40000"/>
        </a:schemeClr>
      </a:glow>
      <a:outerShdw blurRad="50800" dist="38100" dir="2700000" algn="tl" rotWithShape="0">
        <a:prstClr val="black">
          <a:alpha val="40000"/>
        </a:prstClr>
      </a:outerShdw>
    </a:effectLst>
    <a:scene3d>
      <a:camera prst="orthographicFront"/>
      <a:lightRig rig="threePt" dir="t"/>
    </a:scene3d>
    <a:sp3d>
      <a:bevelT w="139700" h="1397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'Pivot Tables'!$A$39</c:f>
              <c:strCache>
                <c:ptCount val="1"/>
                <c:pt idx="0">
                  <c:v>Same-Day SLA</c:v>
                </c:pt>
              </c:strCache>
            </c:strRef>
          </c:tx>
          <c:spPr>
            <a:solidFill>
              <a:schemeClr val="accent3">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Tables'!$B$38:$C$38</c:f>
              <c:strCache>
                <c:ptCount val="2"/>
                <c:pt idx="0">
                  <c:v>Met</c:v>
                </c:pt>
                <c:pt idx="1">
                  <c:v>Breached</c:v>
                </c:pt>
              </c:strCache>
            </c:strRef>
          </c:cat>
          <c:val>
            <c:numRef>
              <c:f>'Pivot Tables'!$B$39:$C$39</c:f>
              <c:numCache>
                <c:formatCode>0%</c:formatCode>
                <c:ptCount val="2"/>
                <c:pt idx="0">
                  <c:v>0.83333333333333337</c:v>
                </c:pt>
                <c:pt idx="1">
                  <c:v>0.16666666666666663</c:v>
                </c:pt>
              </c:numCache>
            </c:numRef>
          </c:val>
          <c:extLst>
            <c:ext xmlns:c16="http://schemas.microsoft.com/office/drawing/2014/chart" uri="{C3380CC4-5D6E-409C-BE32-E72D297353CC}">
              <c16:uniqueId val="{00000000-597F-4CBC-BC99-B913FED46101}"/>
            </c:ext>
          </c:extLst>
        </c:ser>
        <c:ser>
          <c:idx val="1"/>
          <c:order val="1"/>
          <c:tx>
            <c:strRef>
              <c:f>'Pivot Tables'!$A$40</c:f>
              <c:strCache>
                <c:ptCount val="1"/>
                <c:pt idx="0">
                  <c:v>24-Hour SLA</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Tables'!$B$38:$C$38</c:f>
              <c:strCache>
                <c:ptCount val="2"/>
                <c:pt idx="0">
                  <c:v>Met</c:v>
                </c:pt>
                <c:pt idx="1">
                  <c:v>Breached</c:v>
                </c:pt>
              </c:strCache>
            </c:strRef>
          </c:cat>
          <c:val>
            <c:numRef>
              <c:f>'Pivot Tables'!$B$40:$C$40</c:f>
              <c:numCache>
                <c:formatCode>0%</c:formatCode>
                <c:ptCount val="2"/>
                <c:pt idx="0">
                  <c:v>0.84375</c:v>
                </c:pt>
                <c:pt idx="1">
                  <c:v>0.15625</c:v>
                </c:pt>
              </c:numCache>
            </c:numRef>
          </c:val>
          <c:extLst>
            <c:ext xmlns:c16="http://schemas.microsoft.com/office/drawing/2014/chart" uri="{C3380CC4-5D6E-409C-BE32-E72D297353CC}">
              <c16:uniqueId val="{00000001-597F-4CBC-BC99-B913FED46101}"/>
            </c:ext>
          </c:extLst>
        </c:ser>
        <c:dLbls>
          <c:dLblPos val="inEnd"/>
          <c:showLegendKey val="0"/>
          <c:showVal val="1"/>
          <c:showCatName val="0"/>
          <c:showSerName val="0"/>
          <c:showPercent val="0"/>
          <c:showBubbleSize val="0"/>
        </c:dLbls>
        <c:gapWidth val="219"/>
        <c:axId val="614771936"/>
        <c:axId val="614775776"/>
      </c:barChart>
      <c:catAx>
        <c:axId val="61477193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14775776"/>
        <c:crosses val="autoZero"/>
        <c:auto val="1"/>
        <c:lblAlgn val="ctr"/>
        <c:lblOffset val="100"/>
        <c:noMultiLvlLbl val="0"/>
      </c:catAx>
      <c:valAx>
        <c:axId val="614775776"/>
        <c:scaling>
          <c:orientation val="minMax"/>
        </c:scaling>
        <c:delete val="1"/>
        <c:axPos val="t"/>
        <c:numFmt formatCode="0%" sourceLinked="1"/>
        <c:majorTickMark val="none"/>
        <c:minorTickMark val="none"/>
        <c:tickLblPos val="nextTo"/>
        <c:crossAx val="614771936"/>
        <c:crosses val="autoZero"/>
        <c:crossBetween val="between"/>
      </c:valA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glow rad="63500">
            <a:schemeClr val="accent4">
              <a:satMod val="175000"/>
              <a:alpha val="40000"/>
            </a:schemeClr>
          </a:glow>
        </a:effectLst>
        <a:scene3d>
          <a:camera prst="orthographicFront"/>
          <a:lightRig rig="threePt" dir="t"/>
        </a:scene3d>
        <a:sp3d prstMaterial="matte">
          <a:bevelT w="63500" h="63500" prst="artDeco"/>
          <a:contourClr>
            <a:srgbClr val="000000"/>
          </a:contourClr>
        </a:sp3d>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solidFill>
      <a:round/>
    </a:ln>
    <a:effectLst>
      <a:glow rad="63500">
        <a:schemeClr val="accent6">
          <a:satMod val="175000"/>
          <a:alpha val="40000"/>
        </a:schemeClr>
      </a:glow>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[ticket_dataset.xlsx]Pivot Tables!PivotTable3</c:name>
    <c:fmtId val="6"/>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Category - Wise Priorit</a:t>
            </a:r>
            <a:r>
              <a:rPr lang="en-IN" b="1" baseline="0">
                <a:solidFill>
                  <a:schemeClr val="tx1"/>
                </a:solidFill>
              </a:rPr>
              <a:t>y Breakdown</a:t>
            </a:r>
            <a:endParaRPr lang="en-IN" b="1">
              <a:solidFill>
                <a:schemeClr val="tx1"/>
              </a:solidFill>
            </a:endParaRPr>
          </a:p>
        </c:rich>
      </c:tx>
      <c:layout>
        <c:manualLayout>
          <c:xMode val="edge"/>
          <c:yMode val="edge"/>
          <c:x val="0.26406315489633564"/>
          <c:y val="3.987538158306834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3.9755351681957214E-2"/>
              <c:y val="-0.1296296296296296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dLbl>
          <c:idx val="0"/>
          <c:layout>
            <c:manualLayout>
              <c:x val="-6.1162079510703087E-3"/>
              <c:y val="-9.7222222222222265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dLbl>
          <c:idx val="0"/>
          <c:layout>
            <c:manualLayout>
              <c:x val="1.5290519877675841E-2"/>
              <c:y val="-0.125"/>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c:spPr>
        <c:dLbl>
          <c:idx val="0"/>
          <c:layout>
            <c:manualLayout>
              <c:x val="2.1406727828746176E-2"/>
              <c:y val="-8.3333333333333329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2.1406727828746176E-2"/>
              <c:y val="-0.10185185185185189"/>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dLbl>
          <c:idx val="0"/>
          <c:layout>
            <c:manualLayout>
              <c:x val="2.4464831804281346E-2"/>
              <c:y val="-2.3148148148148147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dLbl>
          <c:idx val="0"/>
          <c:layout>
            <c:manualLayout>
              <c:x val="-2.7522935779816571E-2"/>
              <c:y val="-0.20370370370370369"/>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3"/>
          </a:solidFill>
          <a:ln>
            <a:noFill/>
          </a:ln>
          <a:effectLst/>
        </c:spPr>
        <c:dLbl>
          <c:idx val="0"/>
          <c:layout>
            <c:manualLayout>
              <c:x val="2.7522935779816515E-2"/>
              <c:y val="-0.1203703703703704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dLbl>
          <c:idx val="0"/>
          <c:layout>
            <c:manualLayout>
              <c:x val="7.3394495412844041E-2"/>
              <c:y val="-9.7222222222222238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5">
              <a:lumMod val="75000"/>
            </a:schemeClr>
          </a:solidFill>
          <a:ln>
            <a:noFill/>
          </a:ln>
          <a:effectLst/>
        </c:spPr>
      </c:pivotFmt>
      <c:pivotFmt>
        <c:idx val="15"/>
        <c:spPr>
          <a:solidFill>
            <a:schemeClr val="accent5">
              <a:lumMod val="75000"/>
            </a:schemeClr>
          </a:solidFill>
          <a:ln>
            <a:noFill/>
          </a:ln>
          <a:effectLst/>
        </c:spPr>
      </c:pivotFmt>
      <c:pivotFmt>
        <c:idx val="16"/>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lumMod val="75000"/>
            </a:schemeClr>
          </a:solidFill>
          <a:ln>
            <a:noFill/>
          </a:ln>
          <a:effectLst/>
        </c:spPr>
      </c:pivotFmt>
      <c:pivotFmt>
        <c:idx val="18"/>
        <c:spPr>
          <a:solidFill>
            <a:schemeClr val="accent2">
              <a:lumMod val="75000"/>
            </a:schemeClr>
          </a:solidFill>
          <a:ln>
            <a:noFill/>
          </a:ln>
          <a:effectLst/>
        </c:spPr>
      </c:pivotFmt>
      <c:pivotFmt>
        <c:idx val="19"/>
        <c:spPr>
          <a:solidFill>
            <a:schemeClr val="accent2">
              <a:lumMod val="75000"/>
            </a:schemeClr>
          </a:solidFill>
          <a:ln>
            <a:noFill/>
          </a:ln>
          <a:effectLst/>
        </c:spPr>
      </c:pivotFmt>
      <c:pivotFmt>
        <c:idx val="20"/>
        <c:spPr>
          <a:solidFill>
            <a:schemeClr val="accent2">
              <a:lumMod val="75000"/>
            </a:schemeClr>
          </a:solidFill>
          <a:ln>
            <a:noFill/>
          </a:ln>
          <a:effectLst/>
        </c:spPr>
      </c:pivotFmt>
      <c:pivotFmt>
        <c:idx val="21"/>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3">
              <a:lumMod val="75000"/>
            </a:schemeClr>
          </a:solidFill>
          <a:ln>
            <a:noFill/>
          </a:ln>
          <a:effectLst/>
        </c:spPr>
      </c:pivotFmt>
      <c:pivotFmt>
        <c:idx val="23"/>
        <c:spPr>
          <a:solidFill>
            <a:schemeClr val="accent3">
              <a:lumMod val="75000"/>
            </a:schemeClr>
          </a:solidFill>
          <a:ln>
            <a:noFill/>
          </a:ln>
          <a:effectLst/>
        </c:spPr>
      </c:pivotFmt>
      <c:pivotFmt>
        <c:idx val="24"/>
        <c:spPr>
          <a:solidFill>
            <a:schemeClr val="accent3">
              <a:lumMod val="75000"/>
            </a:schemeClr>
          </a:solidFill>
          <a:ln>
            <a:noFill/>
          </a:ln>
          <a:effectLst/>
        </c:spPr>
      </c:pivotFmt>
      <c:pivotFmt>
        <c:idx val="25"/>
        <c:spPr>
          <a:solidFill>
            <a:schemeClr val="accent3">
              <a:lumMod val="75000"/>
            </a:schemeClr>
          </a:solidFill>
          <a:ln>
            <a:noFill/>
          </a:ln>
          <a:effectLst/>
        </c:spPr>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 Tables'!$B$15:$B$16</c:f>
              <c:strCache>
                <c:ptCount val="1"/>
                <c:pt idx="0">
                  <c:v>High</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Tables'!$A$17:$A$22</c:f>
              <c:strCache>
                <c:ptCount val="5"/>
                <c:pt idx="0">
                  <c:v>Account Access</c:v>
                </c:pt>
                <c:pt idx="1">
                  <c:v>Franchise Location</c:v>
                </c:pt>
                <c:pt idx="2">
                  <c:v>Menu Update</c:v>
                </c:pt>
                <c:pt idx="3">
                  <c:v>Physical Location</c:v>
                </c:pt>
                <c:pt idx="4">
                  <c:v>Storefront</c:v>
                </c:pt>
              </c:strCache>
            </c:strRef>
          </c:cat>
          <c:val>
            <c:numRef>
              <c:f>'Pivot Tables'!$B$17:$B$22</c:f>
              <c:numCache>
                <c:formatCode>General</c:formatCode>
                <c:ptCount val="5"/>
                <c:pt idx="0">
                  <c:v>6</c:v>
                </c:pt>
                <c:pt idx="1">
                  <c:v>7</c:v>
                </c:pt>
                <c:pt idx="2">
                  <c:v>7</c:v>
                </c:pt>
                <c:pt idx="3">
                  <c:v>10</c:v>
                </c:pt>
                <c:pt idx="4">
                  <c:v>10</c:v>
                </c:pt>
              </c:numCache>
            </c:numRef>
          </c:val>
          <c:extLst>
            <c:ext xmlns:c16="http://schemas.microsoft.com/office/drawing/2014/chart" uri="{C3380CC4-5D6E-409C-BE32-E72D297353CC}">
              <c16:uniqueId val="{00000002-A594-4297-BD84-9F0F0B791037}"/>
            </c:ext>
          </c:extLst>
        </c:ser>
        <c:ser>
          <c:idx val="1"/>
          <c:order val="1"/>
          <c:tx>
            <c:strRef>
              <c:f>'Pivot Tables'!$C$15:$C$16</c:f>
              <c:strCache>
                <c:ptCount val="1"/>
                <c:pt idx="0">
                  <c:v>Low</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Tables'!$A$17:$A$22</c:f>
              <c:strCache>
                <c:ptCount val="5"/>
                <c:pt idx="0">
                  <c:v>Account Access</c:v>
                </c:pt>
                <c:pt idx="1">
                  <c:v>Franchise Location</c:v>
                </c:pt>
                <c:pt idx="2">
                  <c:v>Menu Update</c:v>
                </c:pt>
                <c:pt idx="3">
                  <c:v>Physical Location</c:v>
                </c:pt>
                <c:pt idx="4">
                  <c:v>Storefront</c:v>
                </c:pt>
              </c:strCache>
            </c:strRef>
          </c:cat>
          <c:val>
            <c:numRef>
              <c:f>'Pivot Tables'!$C$17:$C$22</c:f>
              <c:numCache>
                <c:formatCode>General</c:formatCode>
                <c:ptCount val="5"/>
                <c:pt idx="0">
                  <c:v>6</c:v>
                </c:pt>
                <c:pt idx="1">
                  <c:v>6</c:v>
                </c:pt>
                <c:pt idx="2">
                  <c:v>5</c:v>
                </c:pt>
                <c:pt idx="3">
                  <c:v>12</c:v>
                </c:pt>
                <c:pt idx="4">
                  <c:v>9</c:v>
                </c:pt>
              </c:numCache>
            </c:numRef>
          </c:val>
          <c:extLst>
            <c:ext xmlns:c16="http://schemas.microsoft.com/office/drawing/2014/chart" uri="{C3380CC4-5D6E-409C-BE32-E72D297353CC}">
              <c16:uniqueId val="{0000000E-A594-4297-BD84-9F0F0B791037}"/>
            </c:ext>
          </c:extLst>
        </c:ser>
        <c:ser>
          <c:idx val="2"/>
          <c:order val="2"/>
          <c:tx>
            <c:strRef>
              <c:f>'Pivot Tables'!$D$15:$D$16</c:f>
              <c:strCache>
                <c:ptCount val="1"/>
                <c:pt idx="0">
                  <c:v>Medium</c:v>
                </c:pt>
              </c:strCache>
            </c:strRef>
          </c:tx>
          <c:spPr>
            <a:solidFill>
              <a:schemeClr val="accent3">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Tables'!$A$17:$A$22</c:f>
              <c:strCache>
                <c:ptCount val="5"/>
                <c:pt idx="0">
                  <c:v>Account Access</c:v>
                </c:pt>
                <c:pt idx="1">
                  <c:v>Franchise Location</c:v>
                </c:pt>
                <c:pt idx="2">
                  <c:v>Menu Update</c:v>
                </c:pt>
                <c:pt idx="3">
                  <c:v>Physical Location</c:v>
                </c:pt>
                <c:pt idx="4">
                  <c:v>Storefront</c:v>
                </c:pt>
              </c:strCache>
            </c:strRef>
          </c:cat>
          <c:val>
            <c:numRef>
              <c:f>'Pivot Tables'!$D$17:$D$22</c:f>
              <c:numCache>
                <c:formatCode>General</c:formatCode>
                <c:ptCount val="5"/>
                <c:pt idx="0">
                  <c:v>1</c:v>
                </c:pt>
                <c:pt idx="1">
                  <c:v>3</c:v>
                </c:pt>
                <c:pt idx="2">
                  <c:v>7</c:v>
                </c:pt>
                <c:pt idx="3">
                  <c:v>5</c:v>
                </c:pt>
                <c:pt idx="4">
                  <c:v>6</c:v>
                </c:pt>
              </c:numCache>
            </c:numRef>
          </c:val>
          <c:extLst>
            <c:ext xmlns:c16="http://schemas.microsoft.com/office/drawing/2014/chart" uri="{C3380CC4-5D6E-409C-BE32-E72D297353CC}">
              <c16:uniqueId val="{0000000F-A594-4297-BD84-9F0F0B791037}"/>
            </c:ext>
          </c:extLst>
        </c:ser>
        <c:dLbls>
          <c:dLblPos val="ctr"/>
          <c:showLegendKey val="0"/>
          <c:showVal val="1"/>
          <c:showCatName val="0"/>
          <c:showSerName val="0"/>
          <c:showPercent val="0"/>
          <c:showBubbleSize val="0"/>
        </c:dLbls>
        <c:gapWidth val="90"/>
        <c:overlap val="100"/>
        <c:axId val="13574272"/>
        <c:axId val="13577632"/>
      </c:barChart>
      <c:catAx>
        <c:axId val="135742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Aptos Narrow" panose="020B0004020202020204" pitchFamily="34" charset="0"/>
                <a:ea typeface="+mn-ea"/>
                <a:cs typeface="Arial" panose="020B0604020202020204" pitchFamily="34" charset="0"/>
              </a:defRPr>
            </a:pPr>
            <a:endParaRPr lang="en-US"/>
          </a:p>
        </c:txPr>
        <c:crossAx val="13577632"/>
        <c:crosses val="autoZero"/>
        <c:auto val="1"/>
        <c:lblAlgn val="ctr"/>
        <c:lblOffset val="100"/>
        <c:noMultiLvlLbl val="0"/>
      </c:catAx>
      <c:valAx>
        <c:axId val="1357763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5742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a:glow rad="228600">
        <a:schemeClr val="accent5">
          <a:satMod val="175000"/>
          <a:alpha val="40000"/>
        </a:schemeClr>
      </a:glow>
    </a:effectLst>
    <a:scene3d>
      <a:camera prst="orthographicFront"/>
      <a:lightRig rig="threePt" dir="t"/>
    </a:scene3d>
    <a:sp3d>
      <a:bevelT w="139700" h="1397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[ticket_dataset.xlsx]Pivot Tables!PivotTable4</c:name>
    <c:fmtId val="9"/>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Top Reporters by Volume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solidFill>
              <a:schemeClr val="tx1">
                <a:lumMod val="15000"/>
                <a:lumOff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1"/>
        <c:ser>
          <c:idx val="0"/>
          <c:order val="0"/>
          <c:tx>
            <c:strRef>
              <c:f>'Pivot Tables'!$I$15</c:f>
              <c:strCache>
                <c:ptCount val="1"/>
                <c:pt idx="0">
                  <c:v>Total</c:v>
                </c:pt>
              </c:strCache>
            </c:strRef>
          </c:tx>
          <c:spPr>
            <a:ln>
              <a:solidFill>
                <a:schemeClr val="tx1">
                  <a:lumMod val="15000"/>
                  <a:lumOff val="85000"/>
                </a:schemeClr>
              </a:solidFill>
            </a:ln>
          </c:spPr>
          <c:invertIfNegative val="0"/>
          <c:dPt>
            <c:idx val="0"/>
            <c:invertIfNegative val="0"/>
            <c:bubble3D val="0"/>
            <c:spPr>
              <a:solidFill>
                <a:schemeClr val="accent1"/>
              </a:solidFill>
              <a:ln>
                <a:solidFill>
                  <a:schemeClr val="tx1">
                    <a:lumMod val="15000"/>
                    <a:lumOff val="85000"/>
                  </a:schemeClr>
                </a:solidFill>
              </a:ln>
              <a:effectLst/>
            </c:spPr>
          </c:dPt>
          <c:dPt>
            <c:idx val="1"/>
            <c:invertIfNegative val="0"/>
            <c:bubble3D val="0"/>
            <c:spPr>
              <a:solidFill>
                <a:schemeClr val="accent2"/>
              </a:solidFill>
              <a:ln>
                <a:solidFill>
                  <a:schemeClr val="tx1">
                    <a:lumMod val="15000"/>
                    <a:lumOff val="85000"/>
                  </a:schemeClr>
                </a:solidFill>
              </a:ln>
              <a:effectLst/>
            </c:spPr>
          </c:dPt>
          <c:dPt>
            <c:idx val="2"/>
            <c:invertIfNegative val="0"/>
            <c:bubble3D val="0"/>
            <c:spPr>
              <a:solidFill>
                <a:schemeClr val="accent3"/>
              </a:solidFill>
              <a:ln>
                <a:solidFill>
                  <a:schemeClr val="tx1">
                    <a:lumMod val="15000"/>
                    <a:lumOff val="85000"/>
                  </a:schemeClr>
                </a:solidFill>
              </a:ln>
              <a:effectLst/>
            </c:spPr>
          </c:dPt>
          <c:dPt>
            <c:idx val="3"/>
            <c:invertIfNegative val="0"/>
            <c:bubble3D val="0"/>
            <c:spPr>
              <a:solidFill>
                <a:schemeClr val="accent4"/>
              </a:solidFill>
              <a:ln>
                <a:solidFill>
                  <a:schemeClr val="tx1">
                    <a:lumMod val="15000"/>
                    <a:lumOff val="85000"/>
                  </a:schemeClr>
                </a:solidFill>
              </a:ln>
              <a:effectLst/>
            </c:spPr>
          </c:dPt>
          <c:dPt>
            <c:idx val="4"/>
            <c:invertIfNegative val="0"/>
            <c:bubble3D val="0"/>
            <c:spPr>
              <a:solidFill>
                <a:schemeClr val="accent5"/>
              </a:solidFill>
              <a:ln>
                <a:solidFill>
                  <a:schemeClr val="tx1">
                    <a:lumMod val="15000"/>
                    <a:lumOff val="85000"/>
                  </a:schemeClr>
                </a:solidFill>
              </a:ln>
              <a:effectLst/>
            </c:spPr>
          </c:dPt>
          <c:dPt>
            <c:idx val="5"/>
            <c:invertIfNegative val="0"/>
            <c:bubble3D val="0"/>
            <c:spPr>
              <a:solidFill>
                <a:schemeClr val="accent6"/>
              </a:solidFill>
              <a:ln>
                <a:solidFill>
                  <a:schemeClr val="tx1">
                    <a:lumMod val="15000"/>
                    <a:lumOff val="85000"/>
                  </a:schemeClr>
                </a:solidFill>
              </a:ln>
              <a:effectLst/>
            </c:spPr>
          </c:dPt>
          <c:dPt>
            <c:idx val="6"/>
            <c:invertIfNegative val="0"/>
            <c:bubble3D val="0"/>
            <c:spPr>
              <a:solidFill>
                <a:schemeClr val="accent1">
                  <a:lumMod val="60000"/>
                </a:schemeClr>
              </a:solidFill>
              <a:ln>
                <a:solidFill>
                  <a:schemeClr val="tx1">
                    <a:lumMod val="15000"/>
                    <a:lumOff val="85000"/>
                  </a:schemeClr>
                </a:solidFill>
              </a:ln>
              <a:effectLst/>
            </c:spPr>
          </c:dPt>
          <c:dPt>
            <c:idx val="7"/>
            <c:invertIfNegative val="0"/>
            <c:bubble3D val="0"/>
            <c:spPr>
              <a:solidFill>
                <a:schemeClr val="accent2">
                  <a:lumMod val="60000"/>
                </a:schemeClr>
              </a:solidFill>
              <a:ln>
                <a:solidFill>
                  <a:schemeClr val="tx1">
                    <a:lumMod val="15000"/>
                    <a:lumOff val="85000"/>
                  </a:schemeClr>
                </a:solidFill>
              </a:ln>
              <a:effectLst/>
            </c:spPr>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Tables'!$H$16:$H$24</c:f>
              <c:strCache>
                <c:ptCount val="8"/>
                <c:pt idx="0">
                  <c:v>Arjun T</c:v>
                </c:pt>
                <c:pt idx="1">
                  <c:v>Suresh B</c:v>
                </c:pt>
                <c:pt idx="2">
                  <c:v>Ravi K</c:v>
                </c:pt>
                <c:pt idx="3">
                  <c:v>Karthik M</c:v>
                </c:pt>
                <c:pt idx="4">
                  <c:v>Priya N</c:v>
                </c:pt>
                <c:pt idx="5">
                  <c:v>Meena P</c:v>
                </c:pt>
                <c:pt idx="6">
                  <c:v>Divya R</c:v>
                </c:pt>
                <c:pt idx="7">
                  <c:v>Ananya S</c:v>
                </c:pt>
              </c:strCache>
            </c:strRef>
          </c:cat>
          <c:val>
            <c:numRef>
              <c:f>'Pivot Tables'!$I$16:$I$24</c:f>
              <c:numCache>
                <c:formatCode>General</c:formatCode>
                <c:ptCount val="8"/>
                <c:pt idx="0">
                  <c:v>17</c:v>
                </c:pt>
                <c:pt idx="1">
                  <c:v>16</c:v>
                </c:pt>
                <c:pt idx="2">
                  <c:v>15</c:v>
                </c:pt>
                <c:pt idx="3">
                  <c:v>12</c:v>
                </c:pt>
                <c:pt idx="4">
                  <c:v>11</c:v>
                </c:pt>
                <c:pt idx="5">
                  <c:v>10</c:v>
                </c:pt>
                <c:pt idx="6">
                  <c:v>10</c:v>
                </c:pt>
                <c:pt idx="7">
                  <c:v>9</c:v>
                </c:pt>
              </c:numCache>
            </c:numRef>
          </c:val>
          <c:extLst>
            <c:ext xmlns:c16="http://schemas.microsoft.com/office/drawing/2014/chart" uri="{C3380CC4-5D6E-409C-BE32-E72D297353CC}">
              <c16:uniqueId val="{00000000-33D0-4402-95DD-833D89A03209}"/>
            </c:ext>
          </c:extLst>
        </c:ser>
        <c:dLbls>
          <c:dLblPos val="outEnd"/>
          <c:showLegendKey val="0"/>
          <c:showVal val="1"/>
          <c:showCatName val="0"/>
          <c:showSerName val="0"/>
          <c:showPercent val="0"/>
          <c:showBubbleSize val="0"/>
        </c:dLbls>
        <c:gapWidth val="150"/>
        <c:axId val="2075425776"/>
        <c:axId val="2075433456"/>
      </c:barChart>
      <c:catAx>
        <c:axId val="207542577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t" anchorCtr="0"/>
          <a:lstStyle/>
          <a:p>
            <a:pPr>
              <a:defRPr sz="900" b="1" i="0" u="none" strike="noStrike" kern="1200" baseline="0">
                <a:solidFill>
                  <a:schemeClr val="tx1"/>
                </a:solidFill>
                <a:latin typeface="+mn-lt"/>
                <a:ea typeface="+mn-ea"/>
                <a:cs typeface="+mn-cs"/>
              </a:defRPr>
            </a:pPr>
            <a:endParaRPr lang="en-US"/>
          </a:p>
        </c:txPr>
        <c:crossAx val="2075433456"/>
        <c:crosses val="autoZero"/>
        <c:auto val="1"/>
        <c:lblAlgn val="ctr"/>
        <c:lblOffset val="100"/>
        <c:noMultiLvlLbl val="0"/>
      </c:catAx>
      <c:valAx>
        <c:axId val="2075433456"/>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75425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a:glow rad="101600">
        <a:schemeClr val="accent2">
          <a:satMod val="175000"/>
          <a:alpha val="40000"/>
        </a:schemeClr>
      </a:glow>
      <a:softEdge rad="12700"/>
    </a:effectLst>
    <a:scene3d>
      <a:camera prst="orthographicFront"/>
      <a:lightRig rig="threePt" dir="t"/>
    </a:scene3d>
    <a:sp3d prstMaterial="matte">
      <a:bevelT w="63500" h="63500" prst="artDeco"/>
      <a:contourClr>
        <a:srgbClr val="000000"/>
      </a:contourClr>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[ticket_dataset.xlsx]Pivot Tables!PivotTable5</c:name>
    <c:fmtId val="7"/>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Assignee Workload</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Tables'!$A$29:$A$34</c:f>
              <c:strCache>
                <c:ptCount val="5"/>
                <c:pt idx="0">
                  <c:v>GowriPriya</c:v>
                </c:pt>
                <c:pt idx="1">
                  <c:v>Lakshmi A</c:v>
                </c:pt>
                <c:pt idx="2">
                  <c:v>Rahul D</c:v>
                </c:pt>
                <c:pt idx="3">
                  <c:v>Manoj C</c:v>
                </c:pt>
                <c:pt idx="4">
                  <c:v>Sneha V</c:v>
                </c:pt>
              </c:strCache>
            </c:strRef>
          </c:cat>
          <c:val>
            <c:numRef>
              <c:f>'Pivot Tables'!$B$29:$B$34</c:f>
              <c:numCache>
                <c:formatCode>General</c:formatCode>
                <c:ptCount val="5"/>
                <c:pt idx="0">
                  <c:v>25</c:v>
                </c:pt>
                <c:pt idx="1">
                  <c:v>24</c:v>
                </c:pt>
                <c:pt idx="2">
                  <c:v>20</c:v>
                </c:pt>
                <c:pt idx="3">
                  <c:v>16</c:v>
                </c:pt>
                <c:pt idx="4">
                  <c:v>15</c:v>
                </c:pt>
              </c:numCache>
            </c:numRef>
          </c:val>
          <c:extLst>
            <c:ext xmlns:c16="http://schemas.microsoft.com/office/drawing/2014/chart" uri="{C3380CC4-5D6E-409C-BE32-E72D297353CC}">
              <c16:uniqueId val="{00000000-5BF0-4868-A6C7-8C39C579F927}"/>
            </c:ext>
          </c:extLst>
        </c:ser>
        <c:dLbls>
          <c:dLblPos val="outEnd"/>
          <c:showLegendKey val="0"/>
          <c:showVal val="1"/>
          <c:showCatName val="0"/>
          <c:showSerName val="0"/>
          <c:showPercent val="0"/>
          <c:showBubbleSize val="0"/>
        </c:dLbls>
        <c:gapWidth val="16"/>
        <c:overlap val="-27"/>
        <c:axId val="13552672"/>
        <c:axId val="13554592"/>
      </c:barChart>
      <c:catAx>
        <c:axId val="13552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554592"/>
        <c:crosses val="autoZero"/>
        <c:auto val="1"/>
        <c:lblAlgn val="ctr"/>
        <c:lblOffset val="100"/>
        <c:noMultiLvlLbl val="0"/>
      </c:catAx>
      <c:valAx>
        <c:axId val="13554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552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a:glow rad="63500">
        <a:schemeClr val="accent2">
          <a:satMod val="175000"/>
          <a:alpha val="40000"/>
        </a:schemeClr>
      </a:glow>
    </a:effectLst>
    <a:scene3d>
      <a:camera prst="orthographicFront"/>
      <a:lightRig rig="threePt" dir="t"/>
    </a:scene3d>
    <a:sp3d>
      <a:bevelT w="139700" h="1397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42862</xdr:colOff>
      <xdr:row>4</xdr:row>
      <xdr:rowOff>9525</xdr:rowOff>
    </xdr:from>
    <xdr:to>
      <xdr:col>7</xdr:col>
      <xdr:colOff>333374</xdr:colOff>
      <xdr:row>4</xdr:row>
      <xdr:rowOff>409575</xdr:rowOff>
    </xdr:to>
    <xdr:sp macro="" textlink="">
      <xdr:nvSpPr>
        <xdr:cNvPr id="11" name="TextBox 10">
          <a:extLst>
            <a:ext uri="{FF2B5EF4-FFF2-40B4-BE49-F238E27FC236}">
              <a16:creationId xmlns:a16="http://schemas.microsoft.com/office/drawing/2014/main" id="{EE012DBA-0487-48A5-9C13-926BB0793A34}"/>
            </a:ext>
          </a:extLst>
        </xdr:cNvPr>
        <xdr:cNvSpPr txBox="1"/>
      </xdr:nvSpPr>
      <xdr:spPr>
        <a:xfrm>
          <a:off x="3252787" y="1238250"/>
          <a:ext cx="909637"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a:p>
      </xdr:txBody>
    </xdr:sp>
    <xdr:clientData/>
  </xdr:twoCellAnchor>
  <xdr:twoCellAnchor>
    <xdr:from>
      <xdr:col>2</xdr:col>
      <xdr:colOff>237018</xdr:colOff>
      <xdr:row>2</xdr:row>
      <xdr:rowOff>54937</xdr:rowOff>
    </xdr:from>
    <xdr:to>
      <xdr:col>17</xdr:col>
      <xdr:colOff>578493</xdr:colOff>
      <xdr:row>4</xdr:row>
      <xdr:rowOff>65836</xdr:rowOff>
    </xdr:to>
    <xdr:grpSp>
      <xdr:nvGrpSpPr>
        <xdr:cNvPr id="41" name="Group 40">
          <a:extLst>
            <a:ext uri="{FF2B5EF4-FFF2-40B4-BE49-F238E27FC236}">
              <a16:creationId xmlns:a16="http://schemas.microsoft.com/office/drawing/2014/main" id="{D61CC3EB-2E1B-3B3C-AD71-6E861537DF25}"/>
            </a:ext>
          </a:extLst>
        </xdr:cNvPr>
        <xdr:cNvGrpSpPr/>
      </xdr:nvGrpSpPr>
      <xdr:grpSpPr>
        <a:xfrm>
          <a:off x="960436" y="850696"/>
          <a:ext cx="9565051" cy="601691"/>
          <a:chOff x="972975" y="936300"/>
          <a:chExt cx="9628350" cy="605790"/>
        </a:xfrm>
      </xdr:grpSpPr>
      <mc:AlternateContent xmlns:mc="http://schemas.openxmlformats.org/markup-compatibility/2006">
        <mc:Choice xmlns:a14="http://schemas.microsoft.com/office/drawing/2010/main" Requires="a14">
          <xdr:graphicFrame macro="">
            <xdr:nvGraphicFramePr>
              <xdr:cNvPr id="23" name="Priority">
                <a:extLst>
                  <a:ext uri="{FF2B5EF4-FFF2-40B4-BE49-F238E27FC236}">
                    <a16:creationId xmlns:a16="http://schemas.microsoft.com/office/drawing/2014/main" id="{232A0874-72E0-4DBF-92D9-CF9F5138F85F}"/>
                  </a:ext>
                </a:extLst>
              </xdr:cNvPr>
              <xdr:cNvGraphicFramePr/>
            </xdr:nvGraphicFramePr>
            <xdr:xfrm>
              <a:off x="972975" y="949634"/>
              <a:ext cx="1839600" cy="582931"/>
            </xdr:xfrm>
            <a:graphic>
              <a:graphicData uri="http://schemas.microsoft.com/office/drawing/2010/slicer">
                <sle:slicer xmlns:sle="http://schemas.microsoft.com/office/drawing/2010/slicer" name="Priority"/>
              </a:graphicData>
            </a:graphic>
          </xdr:graphicFrame>
        </mc:Choice>
        <mc:Fallback>
          <xdr:sp macro="" textlink="">
            <xdr:nvSpPr>
              <xdr:cNvPr id="0" name=""/>
              <xdr:cNvSpPr>
                <a:spLocks noTextEdit="1"/>
              </xdr:cNvSpPr>
            </xdr:nvSpPr>
            <xdr:spPr>
              <a:xfrm>
                <a:off x="960436" y="863940"/>
                <a:ext cx="1827506" cy="5789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38" name="Status">
                <a:extLst>
                  <a:ext uri="{FF2B5EF4-FFF2-40B4-BE49-F238E27FC236}">
                    <a16:creationId xmlns:a16="http://schemas.microsoft.com/office/drawing/2014/main" id="{8B38C2C7-63C4-4088-9854-1BD080B3B858}"/>
                  </a:ext>
                </a:extLst>
              </xdr:cNvPr>
              <xdr:cNvGraphicFramePr/>
            </xdr:nvGraphicFramePr>
            <xdr:xfrm>
              <a:off x="2952750" y="936935"/>
              <a:ext cx="2273176" cy="581025"/>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2927196" y="851327"/>
                <a:ext cx="2258232" cy="5770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39" name="SLA Type">
                <a:extLst>
                  <a:ext uri="{FF2B5EF4-FFF2-40B4-BE49-F238E27FC236}">
                    <a16:creationId xmlns:a16="http://schemas.microsoft.com/office/drawing/2014/main" id="{EAF54560-4254-4DD0-B9A2-E3D3AE0096DE}"/>
                  </a:ext>
                </a:extLst>
              </xdr:cNvPr>
              <xdr:cNvGraphicFramePr/>
            </xdr:nvGraphicFramePr>
            <xdr:xfrm>
              <a:off x="5372100" y="950904"/>
              <a:ext cx="1600200" cy="573095"/>
            </xdr:xfrm>
            <a:graphic>
              <a:graphicData uri="http://schemas.microsoft.com/office/drawing/2010/slicer">
                <sle:slicer xmlns:sle="http://schemas.microsoft.com/office/drawing/2010/slicer" name="SLA Type"/>
              </a:graphicData>
            </a:graphic>
          </xdr:graphicFrame>
        </mc:Choice>
        <mc:Fallback>
          <xdr:sp macro="" textlink="">
            <xdr:nvSpPr>
              <xdr:cNvPr id="0" name=""/>
              <xdr:cNvSpPr>
                <a:spLocks noTextEdit="1"/>
              </xdr:cNvSpPr>
            </xdr:nvSpPr>
            <xdr:spPr>
              <a:xfrm>
                <a:off x="5330640" y="865201"/>
                <a:ext cx="1589680" cy="5692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40" name="Category">
                <a:extLst>
                  <a:ext uri="{FF2B5EF4-FFF2-40B4-BE49-F238E27FC236}">
                    <a16:creationId xmlns:a16="http://schemas.microsoft.com/office/drawing/2014/main" id="{929A095B-152B-450A-AC59-F51EBCA8F341}"/>
                  </a:ext>
                </a:extLst>
              </xdr:cNvPr>
              <xdr:cNvGraphicFramePr/>
            </xdr:nvGraphicFramePr>
            <xdr:xfrm>
              <a:off x="7124700" y="936300"/>
              <a:ext cx="3476625" cy="590549"/>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071718" y="850696"/>
                <a:ext cx="3453769" cy="5865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48" name="Priority 1">
                <a:extLst>
                  <a:ext uri="{FF2B5EF4-FFF2-40B4-BE49-F238E27FC236}">
                    <a16:creationId xmlns:a16="http://schemas.microsoft.com/office/drawing/2014/main" id="{62730E6B-660A-5E4B-E28D-27E9A8247D94}"/>
                  </a:ext>
                </a:extLst>
              </xdr:cNvPr>
              <xdr:cNvGraphicFramePr/>
            </xdr:nvGraphicFramePr>
            <xdr:xfrm>
              <a:off x="972975" y="959159"/>
              <a:ext cx="1839600" cy="582931"/>
            </xdr:xfrm>
            <a:graphic>
              <a:graphicData uri="http://schemas.microsoft.com/office/drawing/2010/slicer">
                <sle:slicer xmlns:sle="http://schemas.microsoft.com/office/drawing/2010/slicer" name="Priority 1"/>
              </a:graphicData>
            </a:graphic>
          </xdr:graphicFrame>
        </mc:Choice>
        <mc:Fallback>
          <xdr:sp macro="" textlink="">
            <xdr:nvSpPr>
              <xdr:cNvPr id="0" name=""/>
              <xdr:cNvSpPr>
                <a:spLocks noTextEdit="1"/>
              </xdr:cNvSpPr>
            </xdr:nvSpPr>
            <xdr:spPr>
              <a:xfrm>
                <a:off x="960436" y="873400"/>
                <a:ext cx="1827506" cy="5789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2</xdr:col>
      <xdr:colOff>209550</xdr:colOff>
      <xdr:row>4</xdr:row>
      <xdr:rowOff>191223</xdr:rowOff>
    </xdr:from>
    <xdr:to>
      <xdr:col>18</xdr:col>
      <xdr:colOff>85459</xdr:colOff>
      <xdr:row>9</xdr:row>
      <xdr:rowOff>86448</xdr:rowOff>
    </xdr:to>
    <xdr:grpSp>
      <xdr:nvGrpSpPr>
        <xdr:cNvPr id="37" name="Group 36">
          <a:extLst>
            <a:ext uri="{FF2B5EF4-FFF2-40B4-BE49-F238E27FC236}">
              <a16:creationId xmlns:a16="http://schemas.microsoft.com/office/drawing/2014/main" id="{DCC43CDC-323F-2C22-E77B-E837FA4037B9}"/>
            </a:ext>
          </a:extLst>
        </xdr:cNvPr>
        <xdr:cNvGrpSpPr/>
      </xdr:nvGrpSpPr>
      <xdr:grpSpPr>
        <a:xfrm>
          <a:off x="932968" y="1577774"/>
          <a:ext cx="9714390" cy="1088864"/>
          <a:chOff x="904875" y="857250"/>
          <a:chExt cx="9781909" cy="1076325"/>
        </a:xfrm>
      </xdr:grpSpPr>
      <xdr:grpSp>
        <xdr:nvGrpSpPr>
          <xdr:cNvPr id="24" name="Group 23">
            <a:extLst>
              <a:ext uri="{FF2B5EF4-FFF2-40B4-BE49-F238E27FC236}">
                <a16:creationId xmlns:a16="http://schemas.microsoft.com/office/drawing/2014/main" id="{ED8C550D-8CDA-FEAB-FCC8-1230AA618058}"/>
              </a:ext>
            </a:extLst>
          </xdr:cNvPr>
          <xdr:cNvGrpSpPr/>
        </xdr:nvGrpSpPr>
        <xdr:grpSpPr>
          <a:xfrm>
            <a:off x="904875" y="857250"/>
            <a:ext cx="1714500" cy="1076325"/>
            <a:chOff x="904875" y="857250"/>
            <a:chExt cx="1714500" cy="1076325"/>
          </a:xfrm>
        </xdr:grpSpPr>
        <xdr:sp macro="" textlink="">
          <xdr:nvSpPr>
            <xdr:cNvPr id="18" name="Rectangle: Rounded Corners 17">
              <a:extLst>
                <a:ext uri="{FF2B5EF4-FFF2-40B4-BE49-F238E27FC236}">
                  <a16:creationId xmlns:a16="http://schemas.microsoft.com/office/drawing/2014/main" id="{5F4562EB-0503-4202-902B-8B568D60F569}"/>
                </a:ext>
              </a:extLst>
            </xdr:cNvPr>
            <xdr:cNvSpPr/>
          </xdr:nvSpPr>
          <xdr:spPr>
            <a:xfrm>
              <a:off x="904875" y="857250"/>
              <a:ext cx="1714500" cy="1076325"/>
            </a:xfrm>
            <a:custGeom>
              <a:avLst/>
              <a:gdLst>
                <a:gd name="csX0" fmla="*/ 0 w 1714500"/>
                <a:gd name="csY0" fmla="*/ 179391 h 1076325"/>
                <a:gd name="csX1" fmla="*/ 179391 w 1714500"/>
                <a:gd name="csY1" fmla="*/ 0 h 1076325"/>
                <a:gd name="csX2" fmla="*/ 658411 w 1714500"/>
                <a:gd name="csY2" fmla="*/ 0 h 1076325"/>
                <a:gd name="csX3" fmla="*/ 1096760 w 1714500"/>
                <a:gd name="csY3" fmla="*/ 0 h 1076325"/>
                <a:gd name="csX4" fmla="*/ 1535109 w 1714500"/>
                <a:gd name="csY4" fmla="*/ 0 h 1076325"/>
                <a:gd name="csX5" fmla="*/ 1714500 w 1714500"/>
                <a:gd name="csY5" fmla="*/ 179391 h 1076325"/>
                <a:gd name="csX6" fmla="*/ 1714500 w 1714500"/>
                <a:gd name="csY6" fmla="*/ 523812 h 1076325"/>
                <a:gd name="csX7" fmla="*/ 1714500 w 1714500"/>
                <a:gd name="csY7" fmla="*/ 896934 h 1076325"/>
                <a:gd name="csX8" fmla="*/ 1535109 w 1714500"/>
                <a:gd name="csY8" fmla="*/ 1076325 h 1076325"/>
                <a:gd name="csX9" fmla="*/ 1110317 w 1714500"/>
                <a:gd name="csY9" fmla="*/ 1076325 h 1076325"/>
                <a:gd name="csX10" fmla="*/ 658411 w 1714500"/>
                <a:gd name="csY10" fmla="*/ 1076325 h 1076325"/>
                <a:gd name="csX11" fmla="*/ 179391 w 1714500"/>
                <a:gd name="csY11" fmla="*/ 1076325 h 1076325"/>
                <a:gd name="csX12" fmla="*/ 0 w 1714500"/>
                <a:gd name="csY12" fmla="*/ 896934 h 1076325"/>
                <a:gd name="csX13" fmla="*/ 0 w 1714500"/>
                <a:gd name="csY13" fmla="*/ 538163 h 1076325"/>
                <a:gd name="csX14" fmla="*/ 0 w 1714500"/>
                <a:gd name="csY14" fmla="*/ 179391 h 107632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Lst>
              <a:rect l="l" t="t" r="r" b="b"/>
              <a:pathLst>
                <a:path w="1714500" h="1076325" extrusionOk="0">
                  <a:moveTo>
                    <a:pt x="0" y="179391"/>
                  </a:moveTo>
                  <a:cubicBezTo>
                    <a:pt x="-23192" y="66011"/>
                    <a:pt x="74541" y="2167"/>
                    <a:pt x="179391" y="0"/>
                  </a:cubicBezTo>
                  <a:cubicBezTo>
                    <a:pt x="410701" y="-43901"/>
                    <a:pt x="440996" y="15816"/>
                    <a:pt x="658411" y="0"/>
                  </a:cubicBezTo>
                  <a:cubicBezTo>
                    <a:pt x="875826" y="-15816"/>
                    <a:pt x="886855" y="15175"/>
                    <a:pt x="1096760" y="0"/>
                  </a:cubicBezTo>
                  <a:cubicBezTo>
                    <a:pt x="1306665" y="-15175"/>
                    <a:pt x="1353786" y="22754"/>
                    <a:pt x="1535109" y="0"/>
                  </a:cubicBezTo>
                  <a:cubicBezTo>
                    <a:pt x="1633072" y="-3583"/>
                    <a:pt x="1715243" y="77568"/>
                    <a:pt x="1714500" y="179391"/>
                  </a:cubicBezTo>
                  <a:cubicBezTo>
                    <a:pt x="1754625" y="270784"/>
                    <a:pt x="1701424" y="370551"/>
                    <a:pt x="1714500" y="523812"/>
                  </a:cubicBezTo>
                  <a:cubicBezTo>
                    <a:pt x="1727576" y="677073"/>
                    <a:pt x="1697348" y="713383"/>
                    <a:pt x="1714500" y="896934"/>
                  </a:cubicBezTo>
                  <a:cubicBezTo>
                    <a:pt x="1702003" y="1016682"/>
                    <a:pt x="1631142" y="1072796"/>
                    <a:pt x="1535109" y="1076325"/>
                  </a:cubicBezTo>
                  <a:cubicBezTo>
                    <a:pt x="1343979" y="1085912"/>
                    <a:pt x="1287571" y="1059559"/>
                    <a:pt x="1110317" y="1076325"/>
                  </a:cubicBezTo>
                  <a:cubicBezTo>
                    <a:pt x="933063" y="1093091"/>
                    <a:pt x="779540" y="1056722"/>
                    <a:pt x="658411" y="1076325"/>
                  </a:cubicBezTo>
                  <a:cubicBezTo>
                    <a:pt x="537282" y="1095928"/>
                    <a:pt x="322824" y="1042293"/>
                    <a:pt x="179391" y="1076325"/>
                  </a:cubicBezTo>
                  <a:cubicBezTo>
                    <a:pt x="93291" y="1092219"/>
                    <a:pt x="6081" y="990685"/>
                    <a:pt x="0" y="896934"/>
                  </a:cubicBezTo>
                  <a:cubicBezTo>
                    <a:pt x="-2517" y="748627"/>
                    <a:pt x="37870" y="625313"/>
                    <a:pt x="0" y="538163"/>
                  </a:cubicBezTo>
                  <a:cubicBezTo>
                    <a:pt x="-37870" y="451013"/>
                    <a:pt x="39410" y="287974"/>
                    <a:pt x="0" y="179391"/>
                  </a:cubicBezTo>
                  <a:close/>
                </a:path>
              </a:pathLst>
            </a:custGeom>
            <a:noFill/>
            <a:ln w="34925">
              <a:solidFill>
                <a:schemeClr val="accent5">
                  <a:lumMod val="75000"/>
                </a:schemeClr>
              </a:solidFill>
              <a:extLst>
                <a:ext uri="{C807C97D-BFC1-408E-A445-0C87EB9F89A2}">
                  <ask:lineSketchStyleProps xmlns:ask="http://schemas.microsoft.com/office/drawing/2018/sketchyshapes" sd="1219033472">
                    <a:prstGeom prst="roundRect">
                      <a:avLst/>
                    </a:prstGeom>
                    <ask:type>
                      <ask:lineSketchScribble/>
                    </ask:type>
                  </ask:lineSketchStyleProps>
                </a:ext>
              </a:extLst>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2" name="TextBox 21">
              <a:extLst>
                <a:ext uri="{FF2B5EF4-FFF2-40B4-BE49-F238E27FC236}">
                  <a16:creationId xmlns:a16="http://schemas.microsoft.com/office/drawing/2014/main" id="{DEA32B00-0836-A8BD-6530-4B6F2464B109}"/>
                </a:ext>
              </a:extLst>
            </xdr:cNvPr>
            <xdr:cNvSpPr txBox="1"/>
          </xdr:nvSpPr>
          <xdr:spPr>
            <a:xfrm>
              <a:off x="1228725" y="942975"/>
              <a:ext cx="1190625" cy="26670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rPr>
                <a:t>TOTAL TICKETS</a:t>
              </a:r>
            </a:p>
          </xdr:txBody>
        </xdr:sp>
        <xdr:sp macro="" textlink="KPI!F2">
          <xdr:nvSpPr>
            <xdr:cNvPr id="7" name="TextBox 6">
              <a:extLst>
                <a:ext uri="{FF2B5EF4-FFF2-40B4-BE49-F238E27FC236}">
                  <a16:creationId xmlns:a16="http://schemas.microsoft.com/office/drawing/2014/main" id="{B38FA38D-4362-33AC-8E44-F0AA5189B0A0}"/>
                </a:ext>
              </a:extLst>
            </xdr:cNvPr>
            <xdr:cNvSpPr txBox="1"/>
          </xdr:nvSpPr>
          <xdr:spPr>
            <a:xfrm>
              <a:off x="1295400" y="1208768"/>
              <a:ext cx="895349"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B9C0776-0FC4-439F-92EB-9C398570D991}" type="TxLink">
                <a:rPr lang="en-US" sz="3200" b="1" i="0" u="none" strike="noStrike">
                  <a:solidFill>
                    <a:schemeClr val="bg1"/>
                  </a:solidFill>
                  <a:latin typeface="Calibri"/>
                  <a:ea typeface="Calibri"/>
                  <a:cs typeface="Calibri"/>
                </a:rPr>
                <a:t>100</a:t>
              </a:fld>
              <a:endParaRPr lang="en-IN" sz="3200" b="1">
                <a:solidFill>
                  <a:schemeClr val="bg1"/>
                </a:solidFill>
              </a:endParaRPr>
            </a:p>
          </xdr:txBody>
        </xdr:sp>
      </xdr:grpSp>
      <xdr:grpSp>
        <xdr:nvGrpSpPr>
          <xdr:cNvPr id="26" name="Group 25">
            <a:extLst>
              <a:ext uri="{FF2B5EF4-FFF2-40B4-BE49-F238E27FC236}">
                <a16:creationId xmlns:a16="http://schemas.microsoft.com/office/drawing/2014/main" id="{8D82B28B-0F9A-A5D3-A508-F3431CC158EF}"/>
              </a:ext>
            </a:extLst>
          </xdr:cNvPr>
          <xdr:cNvGrpSpPr/>
        </xdr:nvGrpSpPr>
        <xdr:grpSpPr>
          <a:xfrm>
            <a:off x="4857751" y="857250"/>
            <a:ext cx="1714500" cy="1076325"/>
            <a:chOff x="4857751" y="857250"/>
            <a:chExt cx="1714500" cy="1076325"/>
          </a:xfrm>
        </xdr:grpSpPr>
        <xdr:sp macro="" textlink="">
          <xdr:nvSpPr>
            <xdr:cNvPr id="19" name="Rectangle: Rounded Corners 18">
              <a:extLst>
                <a:ext uri="{FF2B5EF4-FFF2-40B4-BE49-F238E27FC236}">
                  <a16:creationId xmlns:a16="http://schemas.microsoft.com/office/drawing/2014/main" id="{E845D266-2FB3-4F1B-98F9-C65BB441E707}"/>
                </a:ext>
              </a:extLst>
            </xdr:cNvPr>
            <xdr:cNvSpPr/>
          </xdr:nvSpPr>
          <xdr:spPr>
            <a:xfrm>
              <a:off x="4857751" y="857250"/>
              <a:ext cx="1714500" cy="1076325"/>
            </a:xfrm>
            <a:custGeom>
              <a:avLst/>
              <a:gdLst>
                <a:gd name="csX0" fmla="*/ 0 w 1714500"/>
                <a:gd name="csY0" fmla="*/ 179391 h 1076325"/>
                <a:gd name="csX1" fmla="*/ 179391 w 1714500"/>
                <a:gd name="csY1" fmla="*/ 0 h 1076325"/>
                <a:gd name="csX2" fmla="*/ 604183 w 1714500"/>
                <a:gd name="csY2" fmla="*/ 0 h 1076325"/>
                <a:gd name="csX3" fmla="*/ 1083203 w 1714500"/>
                <a:gd name="csY3" fmla="*/ 0 h 1076325"/>
                <a:gd name="csX4" fmla="*/ 1535109 w 1714500"/>
                <a:gd name="csY4" fmla="*/ 0 h 1076325"/>
                <a:gd name="csX5" fmla="*/ 1714500 w 1714500"/>
                <a:gd name="csY5" fmla="*/ 179391 h 1076325"/>
                <a:gd name="csX6" fmla="*/ 1714500 w 1714500"/>
                <a:gd name="csY6" fmla="*/ 530987 h 1076325"/>
                <a:gd name="csX7" fmla="*/ 1714500 w 1714500"/>
                <a:gd name="csY7" fmla="*/ 896934 h 1076325"/>
                <a:gd name="csX8" fmla="*/ 1535109 w 1714500"/>
                <a:gd name="csY8" fmla="*/ 1076325 h 1076325"/>
                <a:gd name="csX9" fmla="*/ 1096760 w 1714500"/>
                <a:gd name="csY9" fmla="*/ 1076325 h 1076325"/>
                <a:gd name="csX10" fmla="*/ 617740 w 1714500"/>
                <a:gd name="csY10" fmla="*/ 1076325 h 1076325"/>
                <a:gd name="csX11" fmla="*/ 179391 w 1714500"/>
                <a:gd name="csY11" fmla="*/ 1076325 h 1076325"/>
                <a:gd name="csX12" fmla="*/ 0 w 1714500"/>
                <a:gd name="csY12" fmla="*/ 896934 h 1076325"/>
                <a:gd name="csX13" fmla="*/ 0 w 1714500"/>
                <a:gd name="csY13" fmla="*/ 552513 h 1076325"/>
                <a:gd name="csX14" fmla="*/ 0 w 1714500"/>
                <a:gd name="csY14" fmla="*/ 179391 h 107632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Lst>
              <a:rect l="l" t="t" r="r" b="b"/>
              <a:pathLst>
                <a:path w="1714500" h="1076325" extrusionOk="0">
                  <a:moveTo>
                    <a:pt x="0" y="179391"/>
                  </a:moveTo>
                  <a:cubicBezTo>
                    <a:pt x="20048" y="80975"/>
                    <a:pt x="58939" y="-8764"/>
                    <a:pt x="179391" y="0"/>
                  </a:cubicBezTo>
                  <a:cubicBezTo>
                    <a:pt x="304713" y="-26514"/>
                    <a:pt x="480120" y="36979"/>
                    <a:pt x="604183" y="0"/>
                  </a:cubicBezTo>
                  <a:cubicBezTo>
                    <a:pt x="728246" y="-36979"/>
                    <a:pt x="902852" y="30282"/>
                    <a:pt x="1083203" y="0"/>
                  </a:cubicBezTo>
                  <a:cubicBezTo>
                    <a:pt x="1263554" y="-30282"/>
                    <a:pt x="1318877" y="3767"/>
                    <a:pt x="1535109" y="0"/>
                  </a:cubicBezTo>
                  <a:cubicBezTo>
                    <a:pt x="1622083" y="-11721"/>
                    <a:pt x="1737261" y="78039"/>
                    <a:pt x="1714500" y="179391"/>
                  </a:cubicBezTo>
                  <a:cubicBezTo>
                    <a:pt x="1742665" y="328509"/>
                    <a:pt x="1683238" y="379861"/>
                    <a:pt x="1714500" y="530987"/>
                  </a:cubicBezTo>
                  <a:cubicBezTo>
                    <a:pt x="1745762" y="682113"/>
                    <a:pt x="1678010" y="747345"/>
                    <a:pt x="1714500" y="896934"/>
                  </a:cubicBezTo>
                  <a:cubicBezTo>
                    <a:pt x="1705322" y="982097"/>
                    <a:pt x="1631298" y="1077324"/>
                    <a:pt x="1535109" y="1076325"/>
                  </a:cubicBezTo>
                  <a:cubicBezTo>
                    <a:pt x="1362627" y="1115850"/>
                    <a:pt x="1274487" y="1048456"/>
                    <a:pt x="1096760" y="1076325"/>
                  </a:cubicBezTo>
                  <a:cubicBezTo>
                    <a:pt x="919033" y="1104194"/>
                    <a:pt x="829562" y="1030998"/>
                    <a:pt x="617740" y="1076325"/>
                  </a:cubicBezTo>
                  <a:cubicBezTo>
                    <a:pt x="405918" y="1121652"/>
                    <a:pt x="369749" y="1050992"/>
                    <a:pt x="179391" y="1076325"/>
                  </a:cubicBezTo>
                  <a:cubicBezTo>
                    <a:pt x="95874" y="1070054"/>
                    <a:pt x="20858" y="995781"/>
                    <a:pt x="0" y="896934"/>
                  </a:cubicBezTo>
                  <a:cubicBezTo>
                    <a:pt x="-8466" y="728149"/>
                    <a:pt x="35673" y="705153"/>
                    <a:pt x="0" y="552513"/>
                  </a:cubicBezTo>
                  <a:cubicBezTo>
                    <a:pt x="-35673" y="399873"/>
                    <a:pt x="32943" y="323664"/>
                    <a:pt x="0" y="179391"/>
                  </a:cubicBezTo>
                  <a:close/>
                </a:path>
              </a:pathLst>
            </a:custGeom>
            <a:noFill/>
            <a:ln w="34925">
              <a:solidFill>
                <a:schemeClr val="accent3">
                  <a:lumMod val="75000"/>
                </a:schemeClr>
              </a:solidFill>
              <a:extLst>
                <a:ext uri="{C807C97D-BFC1-408E-A445-0C87EB9F89A2}">
                  <ask:lineSketchStyleProps xmlns:ask="http://schemas.microsoft.com/office/drawing/2018/sketchyshapes" sd="105823659">
                    <a:prstGeom prst="roundRect">
                      <a:avLst/>
                    </a:prstGeom>
                    <ask:type>
                      <ask:lineSketchScribble/>
                    </ask:type>
                  </ask:lineSketchStyleProps>
                </a:ext>
              </a:extLst>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TextBox 9">
              <a:extLst>
                <a:ext uri="{FF2B5EF4-FFF2-40B4-BE49-F238E27FC236}">
                  <a16:creationId xmlns:a16="http://schemas.microsoft.com/office/drawing/2014/main" id="{AE682907-FFBD-4080-AEE7-B684B146B880}"/>
                </a:ext>
              </a:extLst>
            </xdr:cNvPr>
            <xdr:cNvSpPr txBox="1"/>
          </xdr:nvSpPr>
          <xdr:spPr>
            <a:xfrm>
              <a:off x="5067301" y="942975"/>
              <a:ext cx="1438275" cy="295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rPr>
                <a:t>RESOLUTION RATE</a:t>
              </a:r>
            </a:p>
          </xdr:txBody>
        </xdr:sp>
        <xdr:sp macro="" textlink="KPI!F4">
          <xdr:nvSpPr>
            <xdr:cNvPr id="12" name="TextBox 11">
              <a:extLst>
                <a:ext uri="{FF2B5EF4-FFF2-40B4-BE49-F238E27FC236}">
                  <a16:creationId xmlns:a16="http://schemas.microsoft.com/office/drawing/2014/main" id="{F03C22DD-EE10-4D76-A484-724EFC836F38}"/>
                </a:ext>
              </a:extLst>
            </xdr:cNvPr>
            <xdr:cNvSpPr txBox="1"/>
          </xdr:nvSpPr>
          <xdr:spPr>
            <a:xfrm>
              <a:off x="5248275" y="1208768"/>
              <a:ext cx="1032137"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5D9B2DB-A1EC-4C84-9717-C099BF5AEEED}" type="TxLink">
                <a:rPr lang="en-US" sz="3200" b="1" i="0" u="none" strike="noStrike">
                  <a:solidFill>
                    <a:schemeClr val="bg1"/>
                  </a:solidFill>
                  <a:latin typeface="Calibri"/>
                  <a:ea typeface="Calibri"/>
                  <a:cs typeface="Calibri"/>
                </a:rPr>
                <a:t>56%</a:t>
              </a:fld>
              <a:endParaRPr lang="en-IN" sz="3200" b="1">
                <a:solidFill>
                  <a:schemeClr val="bg1"/>
                </a:solidFill>
              </a:endParaRPr>
            </a:p>
          </xdr:txBody>
        </xdr:sp>
      </xdr:grpSp>
      <xdr:grpSp>
        <xdr:nvGrpSpPr>
          <xdr:cNvPr id="34" name="Group 33">
            <a:extLst>
              <a:ext uri="{FF2B5EF4-FFF2-40B4-BE49-F238E27FC236}">
                <a16:creationId xmlns:a16="http://schemas.microsoft.com/office/drawing/2014/main" id="{0C675071-05F2-3AC6-7A20-040173532734}"/>
              </a:ext>
            </a:extLst>
          </xdr:cNvPr>
          <xdr:cNvGrpSpPr/>
        </xdr:nvGrpSpPr>
        <xdr:grpSpPr>
          <a:xfrm>
            <a:off x="6834189" y="857250"/>
            <a:ext cx="1714500" cy="1076325"/>
            <a:chOff x="6834189" y="857250"/>
            <a:chExt cx="1714500" cy="1076325"/>
          </a:xfrm>
        </xdr:grpSpPr>
        <xdr:sp macro="" textlink="">
          <xdr:nvSpPr>
            <xdr:cNvPr id="21" name="Rectangle: Rounded Corners 20">
              <a:extLst>
                <a:ext uri="{FF2B5EF4-FFF2-40B4-BE49-F238E27FC236}">
                  <a16:creationId xmlns:a16="http://schemas.microsoft.com/office/drawing/2014/main" id="{BA462AA1-45F0-4524-9B2A-57A2E987B9BE}"/>
                </a:ext>
              </a:extLst>
            </xdr:cNvPr>
            <xdr:cNvSpPr/>
          </xdr:nvSpPr>
          <xdr:spPr>
            <a:xfrm>
              <a:off x="6834189" y="857250"/>
              <a:ext cx="1714500" cy="1076325"/>
            </a:xfrm>
            <a:custGeom>
              <a:avLst/>
              <a:gdLst>
                <a:gd name="csX0" fmla="*/ 0 w 1714500"/>
                <a:gd name="csY0" fmla="*/ 179391 h 1076325"/>
                <a:gd name="csX1" fmla="*/ 179391 w 1714500"/>
                <a:gd name="csY1" fmla="*/ 0 h 1076325"/>
                <a:gd name="csX2" fmla="*/ 617740 w 1714500"/>
                <a:gd name="csY2" fmla="*/ 0 h 1076325"/>
                <a:gd name="csX3" fmla="*/ 1096760 w 1714500"/>
                <a:gd name="csY3" fmla="*/ 0 h 1076325"/>
                <a:gd name="csX4" fmla="*/ 1535109 w 1714500"/>
                <a:gd name="csY4" fmla="*/ 0 h 1076325"/>
                <a:gd name="csX5" fmla="*/ 1714500 w 1714500"/>
                <a:gd name="csY5" fmla="*/ 179391 h 1076325"/>
                <a:gd name="csX6" fmla="*/ 1714500 w 1714500"/>
                <a:gd name="csY6" fmla="*/ 523812 h 1076325"/>
                <a:gd name="csX7" fmla="*/ 1714500 w 1714500"/>
                <a:gd name="csY7" fmla="*/ 896934 h 1076325"/>
                <a:gd name="csX8" fmla="*/ 1535109 w 1714500"/>
                <a:gd name="csY8" fmla="*/ 1076325 h 1076325"/>
                <a:gd name="csX9" fmla="*/ 1069646 w 1714500"/>
                <a:gd name="csY9" fmla="*/ 1076325 h 1076325"/>
                <a:gd name="csX10" fmla="*/ 590625 w 1714500"/>
                <a:gd name="csY10" fmla="*/ 1076325 h 1076325"/>
                <a:gd name="csX11" fmla="*/ 179391 w 1714500"/>
                <a:gd name="csY11" fmla="*/ 1076325 h 1076325"/>
                <a:gd name="csX12" fmla="*/ 0 w 1714500"/>
                <a:gd name="csY12" fmla="*/ 896934 h 1076325"/>
                <a:gd name="csX13" fmla="*/ 0 w 1714500"/>
                <a:gd name="csY13" fmla="*/ 559689 h 1076325"/>
                <a:gd name="csX14" fmla="*/ 0 w 1714500"/>
                <a:gd name="csY14" fmla="*/ 179391 h 107632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Lst>
              <a:rect l="l" t="t" r="r" b="b"/>
              <a:pathLst>
                <a:path w="1714500" h="1076325" extrusionOk="0">
                  <a:moveTo>
                    <a:pt x="0" y="179391"/>
                  </a:moveTo>
                  <a:cubicBezTo>
                    <a:pt x="11226" y="72792"/>
                    <a:pt x="74779" y="13353"/>
                    <a:pt x="179391" y="0"/>
                  </a:cubicBezTo>
                  <a:cubicBezTo>
                    <a:pt x="336309" y="-22028"/>
                    <a:pt x="523835" y="5880"/>
                    <a:pt x="617740" y="0"/>
                  </a:cubicBezTo>
                  <a:cubicBezTo>
                    <a:pt x="711645" y="-5880"/>
                    <a:pt x="910035" y="48895"/>
                    <a:pt x="1096760" y="0"/>
                  </a:cubicBezTo>
                  <a:cubicBezTo>
                    <a:pt x="1283485" y="-48895"/>
                    <a:pt x="1378717" y="12162"/>
                    <a:pt x="1535109" y="0"/>
                  </a:cubicBezTo>
                  <a:cubicBezTo>
                    <a:pt x="1629962" y="-22253"/>
                    <a:pt x="1722108" y="99365"/>
                    <a:pt x="1714500" y="179391"/>
                  </a:cubicBezTo>
                  <a:cubicBezTo>
                    <a:pt x="1748493" y="314934"/>
                    <a:pt x="1710411" y="446171"/>
                    <a:pt x="1714500" y="523812"/>
                  </a:cubicBezTo>
                  <a:cubicBezTo>
                    <a:pt x="1718589" y="601453"/>
                    <a:pt x="1708522" y="794209"/>
                    <a:pt x="1714500" y="896934"/>
                  </a:cubicBezTo>
                  <a:cubicBezTo>
                    <a:pt x="1698675" y="1005187"/>
                    <a:pt x="1649672" y="1082398"/>
                    <a:pt x="1535109" y="1076325"/>
                  </a:cubicBezTo>
                  <a:cubicBezTo>
                    <a:pt x="1396945" y="1128383"/>
                    <a:pt x="1263323" y="1030080"/>
                    <a:pt x="1069646" y="1076325"/>
                  </a:cubicBezTo>
                  <a:cubicBezTo>
                    <a:pt x="875969" y="1122570"/>
                    <a:pt x="755012" y="1038173"/>
                    <a:pt x="590625" y="1076325"/>
                  </a:cubicBezTo>
                  <a:cubicBezTo>
                    <a:pt x="426238" y="1114477"/>
                    <a:pt x="333735" y="1042334"/>
                    <a:pt x="179391" y="1076325"/>
                  </a:cubicBezTo>
                  <a:cubicBezTo>
                    <a:pt x="66434" y="1082044"/>
                    <a:pt x="-3128" y="1024257"/>
                    <a:pt x="0" y="896934"/>
                  </a:cubicBezTo>
                  <a:cubicBezTo>
                    <a:pt x="-1301" y="745091"/>
                    <a:pt x="32205" y="658052"/>
                    <a:pt x="0" y="559689"/>
                  </a:cubicBezTo>
                  <a:cubicBezTo>
                    <a:pt x="-32205" y="461327"/>
                    <a:pt x="7614" y="281917"/>
                    <a:pt x="0" y="179391"/>
                  </a:cubicBezTo>
                  <a:close/>
                </a:path>
              </a:pathLst>
            </a:custGeom>
            <a:noFill/>
            <a:ln w="34925">
              <a:solidFill>
                <a:schemeClr val="accent4">
                  <a:lumMod val="75000"/>
                </a:schemeClr>
              </a:solidFill>
              <a:extLst>
                <a:ext uri="{C807C97D-BFC1-408E-A445-0C87EB9F89A2}">
                  <ask:lineSketchStyleProps xmlns:ask="http://schemas.microsoft.com/office/drawing/2018/sketchyshapes" sd="2536362885">
                    <a:prstGeom prst="roundRect">
                      <a:avLst/>
                    </a:prstGeom>
                    <ask:type>
                      <ask:lineSketchScribble/>
                    </ask:type>
                  </ask:lineSketchStyleProps>
                </a:ext>
              </a:extLst>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9" name="TextBox 28">
              <a:extLst>
                <a:ext uri="{FF2B5EF4-FFF2-40B4-BE49-F238E27FC236}">
                  <a16:creationId xmlns:a16="http://schemas.microsoft.com/office/drawing/2014/main" id="{4F82FDC6-CF70-2841-AB7D-43EEE492AB64}"/>
                </a:ext>
              </a:extLst>
            </xdr:cNvPr>
            <xdr:cNvSpPr txBox="1"/>
          </xdr:nvSpPr>
          <xdr:spPr>
            <a:xfrm>
              <a:off x="7277100" y="942975"/>
              <a:ext cx="9144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rPr>
                <a:t>SLA</a:t>
              </a:r>
              <a:r>
                <a:rPr lang="en-IN" sz="1200" b="1" baseline="0">
                  <a:solidFill>
                    <a:schemeClr val="bg1"/>
                  </a:solidFill>
                </a:rPr>
                <a:t> MET %</a:t>
              </a:r>
              <a:endParaRPr lang="en-IN" sz="1200" b="1">
                <a:solidFill>
                  <a:schemeClr val="bg1"/>
                </a:solidFill>
              </a:endParaRPr>
            </a:p>
          </xdr:txBody>
        </xdr:sp>
        <xdr:sp macro="" textlink="KPI!F6">
          <xdr:nvSpPr>
            <xdr:cNvPr id="13" name="TextBox 12">
              <a:extLst>
                <a:ext uri="{FF2B5EF4-FFF2-40B4-BE49-F238E27FC236}">
                  <a16:creationId xmlns:a16="http://schemas.microsoft.com/office/drawing/2014/main" id="{08809DF6-10E2-401B-ACF9-812A46896D79}"/>
                </a:ext>
              </a:extLst>
            </xdr:cNvPr>
            <xdr:cNvSpPr txBox="1"/>
          </xdr:nvSpPr>
          <xdr:spPr>
            <a:xfrm>
              <a:off x="7262813" y="1208768"/>
              <a:ext cx="895349"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73FC824-8102-4C67-B2A5-5CD9AB237624}" type="TxLink">
                <a:rPr lang="en-US" sz="3200" b="1" i="0" u="none" strike="noStrike">
                  <a:solidFill>
                    <a:schemeClr val="bg1"/>
                  </a:solidFill>
                  <a:latin typeface="Calibri"/>
                  <a:ea typeface="Calibri"/>
                  <a:cs typeface="Calibri"/>
                </a:rPr>
                <a:t>84%</a:t>
              </a:fld>
              <a:endParaRPr lang="en-IN" sz="3200" b="1">
                <a:solidFill>
                  <a:schemeClr val="bg1"/>
                </a:solidFill>
              </a:endParaRPr>
            </a:p>
          </xdr:txBody>
        </xdr:sp>
      </xdr:grpSp>
      <xdr:grpSp>
        <xdr:nvGrpSpPr>
          <xdr:cNvPr id="25" name="Group 24">
            <a:extLst>
              <a:ext uri="{FF2B5EF4-FFF2-40B4-BE49-F238E27FC236}">
                <a16:creationId xmlns:a16="http://schemas.microsoft.com/office/drawing/2014/main" id="{AE220173-601A-A026-04F5-35DFB2B5E657}"/>
              </a:ext>
            </a:extLst>
          </xdr:cNvPr>
          <xdr:cNvGrpSpPr/>
        </xdr:nvGrpSpPr>
        <xdr:grpSpPr>
          <a:xfrm>
            <a:off x="2881313" y="857250"/>
            <a:ext cx="1747042" cy="1076325"/>
            <a:chOff x="2881313" y="857250"/>
            <a:chExt cx="1747042" cy="1076325"/>
          </a:xfrm>
        </xdr:grpSpPr>
        <xdr:sp macro="" textlink="">
          <xdr:nvSpPr>
            <xdr:cNvPr id="9" name="Rectangle: Rounded Corners 8">
              <a:extLst>
                <a:ext uri="{FF2B5EF4-FFF2-40B4-BE49-F238E27FC236}">
                  <a16:creationId xmlns:a16="http://schemas.microsoft.com/office/drawing/2014/main" id="{7A5381F7-51A5-4BBD-B0A4-1BD0E1DC23F7}"/>
                </a:ext>
              </a:extLst>
            </xdr:cNvPr>
            <xdr:cNvSpPr/>
          </xdr:nvSpPr>
          <xdr:spPr>
            <a:xfrm>
              <a:off x="2881313" y="857250"/>
              <a:ext cx="1714500" cy="1076325"/>
            </a:xfrm>
            <a:custGeom>
              <a:avLst/>
              <a:gdLst>
                <a:gd name="csX0" fmla="*/ 0 w 1714500"/>
                <a:gd name="csY0" fmla="*/ 179391 h 1076325"/>
                <a:gd name="csX1" fmla="*/ 179391 w 1714500"/>
                <a:gd name="csY1" fmla="*/ 0 h 1076325"/>
                <a:gd name="csX2" fmla="*/ 604183 w 1714500"/>
                <a:gd name="csY2" fmla="*/ 0 h 1076325"/>
                <a:gd name="csX3" fmla="*/ 1042531 w 1714500"/>
                <a:gd name="csY3" fmla="*/ 0 h 1076325"/>
                <a:gd name="csX4" fmla="*/ 1535109 w 1714500"/>
                <a:gd name="csY4" fmla="*/ 0 h 1076325"/>
                <a:gd name="csX5" fmla="*/ 1714500 w 1714500"/>
                <a:gd name="csY5" fmla="*/ 179391 h 1076325"/>
                <a:gd name="csX6" fmla="*/ 1714500 w 1714500"/>
                <a:gd name="csY6" fmla="*/ 516636 h 1076325"/>
                <a:gd name="csX7" fmla="*/ 1714500 w 1714500"/>
                <a:gd name="csY7" fmla="*/ 896934 h 1076325"/>
                <a:gd name="csX8" fmla="*/ 1535109 w 1714500"/>
                <a:gd name="csY8" fmla="*/ 1076325 h 1076325"/>
                <a:gd name="csX9" fmla="*/ 1123875 w 1714500"/>
                <a:gd name="csY9" fmla="*/ 1076325 h 1076325"/>
                <a:gd name="csX10" fmla="*/ 685526 w 1714500"/>
                <a:gd name="csY10" fmla="*/ 1076325 h 1076325"/>
                <a:gd name="csX11" fmla="*/ 179391 w 1714500"/>
                <a:gd name="csY11" fmla="*/ 1076325 h 1076325"/>
                <a:gd name="csX12" fmla="*/ 0 w 1714500"/>
                <a:gd name="csY12" fmla="*/ 896934 h 1076325"/>
                <a:gd name="csX13" fmla="*/ 0 w 1714500"/>
                <a:gd name="csY13" fmla="*/ 559689 h 1076325"/>
                <a:gd name="csX14" fmla="*/ 0 w 1714500"/>
                <a:gd name="csY14" fmla="*/ 179391 h 107632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Lst>
              <a:rect l="l" t="t" r="r" b="b"/>
              <a:pathLst>
                <a:path w="1714500" h="1076325" extrusionOk="0">
                  <a:moveTo>
                    <a:pt x="0" y="179391"/>
                  </a:moveTo>
                  <a:cubicBezTo>
                    <a:pt x="22468" y="82984"/>
                    <a:pt x="71286" y="-12149"/>
                    <a:pt x="179391" y="0"/>
                  </a:cubicBezTo>
                  <a:cubicBezTo>
                    <a:pt x="278304" y="-45919"/>
                    <a:pt x="493896" y="3965"/>
                    <a:pt x="604183" y="0"/>
                  </a:cubicBezTo>
                  <a:cubicBezTo>
                    <a:pt x="714470" y="-3965"/>
                    <a:pt x="880600" y="24902"/>
                    <a:pt x="1042531" y="0"/>
                  </a:cubicBezTo>
                  <a:cubicBezTo>
                    <a:pt x="1204462" y="-24902"/>
                    <a:pt x="1312286" y="2780"/>
                    <a:pt x="1535109" y="0"/>
                  </a:cubicBezTo>
                  <a:cubicBezTo>
                    <a:pt x="1636269" y="6342"/>
                    <a:pt x="1715269" y="103106"/>
                    <a:pt x="1714500" y="179391"/>
                  </a:cubicBezTo>
                  <a:cubicBezTo>
                    <a:pt x="1716888" y="325350"/>
                    <a:pt x="1702145" y="400897"/>
                    <a:pt x="1714500" y="516636"/>
                  </a:cubicBezTo>
                  <a:cubicBezTo>
                    <a:pt x="1726855" y="632376"/>
                    <a:pt x="1674211" y="761472"/>
                    <a:pt x="1714500" y="896934"/>
                  </a:cubicBezTo>
                  <a:cubicBezTo>
                    <a:pt x="1729104" y="973273"/>
                    <a:pt x="1657991" y="1065193"/>
                    <a:pt x="1535109" y="1076325"/>
                  </a:cubicBezTo>
                  <a:cubicBezTo>
                    <a:pt x="1439517" y="1117993"/>
                    <a:pt x="1283084" y="1044107"/>
                    <a:pt x="1123875" y="1076325"/>
                  </a:cubicBezTo>
                  <a:cubicBezTo>
                    <a:pt x="964666" y="1108543"/>
                    <a:pt x="872949" y="1074823"/>
                    <a:pt x="685526" y="1076325"/>
                  </a:cubicBezTo>
                  <a:cubicBezTo>
                    <a:pt x="498103" y="1077827"/>
                    <a:pt x="320958" y="1021756"/>
                    <a:pt x="179391" y="1076325"/>
                  </a:cubicBezTo>
                  <a:cubicBezTo>
                    <a:pt x="85830" y="1073221"/>
                    <a:pt x="22904" y="998934"/>
                    <a:pt x="0" y="896934"/>
                  </a:cubicBezTo>
                  <a:cubicBezTo>
                    <a:pt x="-3822" y="767346"/>
                    <a:pt x="1850" y="635230"/>
                    <a:pt x="0" y="559689"/>
                  </a:cubicBezTo>
                  <a:cubicBezTo>
                    <a:pt x="-1850" y="484149"/>
                    <a:pt x="32011" y="304440"/>
                    <a:pt x="0" y="179391"/>
                  </a:cubicBezTo>
                  <a:close/>
                </a:path>
              </a:pathLst>
            </a:custGeom>
            <a:noFill/>
            <a:ln w="34925">
              <a:solidFill>
                <a:schemeClr val="accent2">
                  <a:lumMod val="75000"/>
                </a:schemeClr>
              </a:solidFill>
              <a:extLst>
                <a:ext uri="{C807C97D-BFC1-408E-A445-0C87EB9F89A2}">
                  <ask:lineSketchStyleProps xmlns:ask="http://schemas.microsoft.com/office/drawing/2018/sketchyshapes" sd="2214188587">
                    <a:prstGeom prst="roundRect">
                      <a:avLst/>
                    </a:prstGeom>
                    <ask:type>
                      <ask:lineSketchScribble/>
                    </ask:type>
                  </ask:lineSketchStyleProps>
                </a:ext>
              </a:extLst>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8" name="TextBox 27">
              <a:extLst>
                <a:ext uri="{FF2B5EF4-FFF2-40B4-BE49-F238E27FC236}">
                  <a16:creationId xmlns:a16="http://schemas.microsoft.com/office/drawing/2014/main" id="{170CB103-47FB-3CEF-35C6-A89C10FE21D3}"/>
                </a:ext>
              </a:extLst>
            </xdr:cNvPr>
            <xdr:cNvSpPr txBox="1"/>
          </xdr:nvSpPr>
          <xdr:spPr>
            <a:xfrm>
              <a:off x="3124201" y="942975"/>
              <a:ext cx="12573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rPr>
                <a:t>CLOSED Vs OPEN</a:t>
              </a:r>
            </a:p>
          </xdr:txBody>
        </xdr:sp>
        <xdr:sp macro="" textlink="KPI!F3">
          <xdr:nvSpPr>
            <xdr:cNvPr id="15" name="TextBox 14">
              <a:extLst>
                <a:ext uri="{FF2B5EF4-FFF2-40B4-BE49-F238E27FC236}">
                  <a16:creationId xmlns:a16="http://schemas.microsoft.com/office/drawing/2014/main" id="{CFD1F2E6-9D34-E8D8-849A-6405A2D165D3}"/>
                </a:ext>
              </a:extLst>
            </xdr:cNvPr>
            <xdr:cNvSpPr txBox="1"/>
          </xdr:nvSpPr>
          <xdr:spPr>
            <a:xfrm>
              <a:off x="3067049" y="1193006"/>
              <a:ext cx="820737" cy="5363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D698A3D-8AFC-4B8A-8F2B-4EF65EE69EA5}" type="TxLink">
                <a:rPr lang="en-US" sz="3200" b="1" i="0" u="none" strike="noStrike">
                  <a:solidFill>
                    <a:schemeClr val="bg1"/>
                  </a:solidFill>
                  <a:latin typeface="Calibri"/>
                  <a:ea typeface="Calibri"/>
                  <a:cs typeface="Calibri"/>
                </a:rPr>
                <a:t>56</a:t>
              </a:fld>
              <a:r>
                <a:rPr lang="en-US" sz="3200" b="1" i="0" u="none" strike="noStrike">
                  <a:solidFill>
                    <a:schemeClr val="bg1"/>
                  </a:solidFill>
                  <a:latin typeface="Calibri"/>
                  <a:ea typeface="Calibri"/>
                  <a:cs typeface="Calibri"/>
                </a:rPr>
                <a:t>   </a:t>
              </a:r>
            </a:p>
          </xdr:txBody>
        </xdr:sp>
        <xdr:sp macro="" textlink="KPI!F5">
          <xdr:nvSpPr>
            <xdr:cNvPr id="16" name="TextBox 15">
              <a:extLst>
                <a:ext uri="{FF2B5EF4-FFF2-40B4-BE49-F238E27FC236}">
                  <a16:creationId xmlns:a16="http://schemas.microsoft.com/office/drawing/2014/main" id="{E8D4EE20-9511-A212-F0F2-F6C2AC04E20B}"/>
                </a:ext>
              </a:extLst>
            </xdr:cNvPr>
            <xdr:cNvSpPr txBox="1"/>
          </xdr:nvSpPr>
          <xdr:spPr>
            <a:xfrm>
              <a:off x="3695700" y="1193006"/>
              <a:ext cx="932655" cy="5363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642822A-EE2F-43A4-8804-70066088A248}" type="TxLink">
                <a:rPr lang="en-US" sz="3200" b="1" i="0" u="none" strike="noStrike">
                  <a:solidFill>
                    <a:schemeClr val="bg1"/>
                  </a:solidFill>
                  <a:latin typeface="Calibri"/>
                  <a:ea typeface="Calibri"/>
                  <a:cs typeface="Calibri"/>
                </a:rPr>
                <a:t>32</a:t>
              </a:fld>
              <a:endParaRPr lang="en-IN" sz="3200" b="1">
                <a:solidFill>
                  <a:schemeClr val="bg1"/>
                </a:solidFill>
              </a:endParaRPr>
            </a:p>
          </xdr:txBody>
        </xdr:sp>
      </xdr:grpSp>
      <xdr:grpSp>
        <xdr:nvGrpSpPr>
          <xdr:cNvPr id="35" name="Group 34">
            <a:extLst>
              <a:ext uri="{FF2B5EF4-FFF2-40B4-BE49-F238E27FC236}">
                <a16:creationId xmlns:a16="http://schemas.microsoft.com/office/drawing/2014/main" id="{DB26746B-D8B3-4921-941B-38C3D23ADEE9}"/>
              </a:ext>
            </a:extLst>
          </xdr:cNvPr>
          <xdr:cNvGrpSpPr/>
        </xdr:nvGrpSpPr>
        <xdr:grpSpPr>
          <a:xfrm>
            <a:off x="8810625" y="857250"/>
            <a:ext cx="1876159" cy="1076325"/>
            <a:chOff x="8810625" y="857250"/>
            <a:chExt cx="1876159" cy="1076325"/>
          </a:xfrm>
        </xdr:grpSpPr>
        <xdr:sp macro="" textlink="">
          <xdr:nvSpPr>
            <xdr:cNvPr id="20" name="Rectangle: Rounded Corners 19">
              <a:extLst>
                <a:ext uri="{FF2B5EF4-FFF2-40B4-BE49-F238E27FC236}">
                  <a16:creationId xmlns:a16="http://schemas.microsoft.com/office/drawing/2014/main" id="{5A83FEB1-717B-441B-A1B7-255758387F35}"/>
                </a:ext>
              </a:extLst>
            </xdr:cNvPr>
            <xdr:cNvSpPr/>
          </xdr:nvSpPr>
          <xdr:spPr>
            <a:xfrm>
              <a:off x="8810625" y="857250"/>
              <a:ext cx="1714500" cy="1076325"/>
            </a:xfrm>
            <a:custGeom>
              <a:avLst/>
              <a:gdLst>
                <a:gd name="csX0" fmla="*/ 0 w 1714500"/>
                <a:gd name="csY0" fmla="*/ 179391 h 1076325"/>
                <a:gd name="csX1" fmla="*/ 179391 w 1714500"/>
                <a:gd name="csY1" fmla="*/ 0 h 1076325"/>
                <a:gd name="csX2" fmla="*/ 644854 w 1714500"/>
                <a:gd name="csY2" fmla="*/ 0 h 1076325"/>
                <a:gd name="csX3" fmla="*/ 1110317 w 1714500"/>
                <a:gd name="csY3" fmla="*/ 0 h 1076325"/>
                <a:gd name="csX4" fmla="*/ 1535109 w 1714500"/>
                <a:gd name="csY4" fmla="*/ 0 h 1076325"/>
                <a:gd name="csX5" fmla="*/ 1714500 w 1714500"/>
                <a:gd name="csY5" fmla="*/ 179391 h 1076325"/>
                <a:gd name="csX6" fmla="*/ 1714500 w 1714500"/>
                <a:gd name="csY6" fmla="*/ 552513 h 1076325"/>
                <a:gd name="csX7" fmla="*/ 1714500 w 1714500"/>
                <a:gd name="csY7" fmla="*/ 896934 h 1076325"/>
                <a:gd name="csX8" fmla="*/ 1535109 w 1714500"/>
                <a:gd name="csY8" fmla="*/ 1076325 h 1076325"/>
                <a:gd name="csX9" fmla="*/ 1083203 w 1714500"/>
                <a:gd name="csY9" fmla="*/ 1076325 h 1076325"/>
                <a:gd name="csX10" fmla="*/ 617740 w 1714500"/>
                <a:gd name="csY10" fmla="*/ 1076325 h 1076325"/>
                <a:gd name="csX11" fmla="*/ 179391 w 1714500"/>
                <a:gd name="csY11" fmla="*/ 1076325 h 1076325"/>
                <a:gd name="csX12" fmla="*/ 0 w 1714500"/>
                <a:gd name="csY12" fmla="*/ 896934 h 1076325"/>
                <a:gd name="csX13" fmla="*/ 0 w 1714500"/>
                <a:gd name="csY13" fmla="*/ 523812 h 1076325"/>
                <a:gd name="csX14" fmla="*/ 0 w 1714500"/>
                <a:gd name="csY14" fmla="*/ 179391 h 107632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Lst>
              <a:rect l="l" t="t" r="r" b="b"/>
              <a:pathLst>
                <a:path w="1714500" h="1076325" extrusionOk="0">
                  <a:moveTo>
                    <a:pt x="0" y="179391"/>
                  </a:moveTo>
                  <a:cubicBezTo>
                    <a:pt x="20239" y="84653"/>
                    <a:pt x="81311" y="-5077"/>
                    <a:pt x="179391" y="0"/>
                  </a:cubicBezTo>
                  <a:cubicBezTo>
                    <a:pt x="385989" y="-42631"/>
                    <a:pt x="466275" y="30391"/>
                    <a:pt x="644854" y="0"/>
                  </a:cubicBezTo>
                  <a:cubicBezTo>
                    <a:pt x="823433" y="-30391"/>
                    <a:pt x="964321" y="838"/>
                    <a:pt x="1110317" y="0"/>
                  </a:cubicBezTo>
                  <a:cubicBezTo>
                    <a:pt x="1256313" y="-838"/>
                    <a:pt x="1338620" y="31455"/>
                    <a:pt x="1535109" y="0"/>
                  </a:cubicBezTo>
                  <a:cubicBezTo>
                    <a:pt x="1631374" y="4190"/>
                    <a:pt x="1701960" y="73250"/>
                    <a:pt x="1714500" y="179391"/>
                  </a:cubicBezTo>
                  <a:cubicBezTo>
                    <a:pt x="1754198" y="303911"/>
                    <a:pt x="1691090" y="474889"/>
                    <a:pt x="1714500" y="552513"/>
                  </a:cubicBezTo>
                  <a:cubicBezTo>
                    <a:pt x="1737910" y="630137"/>
                    <a:pt x="1681866" y="725685"/>
                    <a:pt x="1714500" y="896934"/>
                  </a:cubicBezTo>
                  <a:cubicBezTo>
                    <a:pt x="1729841" y="1009304"/>
                    <a:pt x="1640059" y="1068998"/>
                    <a:pt x="1535109" y="1076325"/>
                  </a:cubicBezTo>
                  <a:cubicBezTo>
                    <a:pt x="1370577" y="1116561"/>
                    <a:pt x="1245105" y="1058393"/>
                    <a:pt x="1083203" y="1076325"/>
                  </a:cubicBezTo>
                  <a:cubicBezTo>
                    <a:pt x="921301" y="1094257"/>
                    <a:pt x="749808" y="1065532"/>
                    <a:pt x="617740" y="1076325"/>
                  </a:cubicBezTo>
                  <a:cubicBezTo>
                    <a:pt x="485672" y="1087118"/>
                    <a:pt x="345580" y="1072676"/>
                    <a:pt x="179391" y="1076325"/>
                  </a:cubicBezTo>
                  <a:cubicBezTo>
                    <a:pt x="74913" y="1073094"/>
                    <a:pt x="-6368" y="991938"/>
                    <a:pt x="0" y="896934"/>
                  </a:cubicBezTo>
                  <a:cubicBezTo>
                    <a:pt x="-35265" y="715362"/>
                    <a:pt x="39745" y="624585"/>
                    <a:pt x="0" y="523812"/>
                  </a:cubicBezTo>
                  <a:cubicBezTo>
                    <a:pt x="-39745" y="423039"/>
                    <a:pt x="30790" y="313616"/>
                    <a:pt x="0" y="179391"/>
                  </a:cubicBezTo>
                  <a:close/>
                </a:path>
              </a:pathLst>
            </a:custGeom>
            <a:noFill/>
            <a:ln w="34925">
              <a:solidFill>
                <a:schemeClr val="accent6">
                  <a:lumMod val="50000"/>
                </a:schemeClr>
              </a:solidFill>
              <a:extLst>
                <a:ext uri="{C807C97D-BFC1-408E-A445-0C87EB9F89A2}">
                  <ask:lineSketchStyleProps xmlns:ask="http://schemas.microsoft.com/office/drawing/2018/sketchyshapes" sd="3452847907">
                    <a:prstGeom prst="roundRect">
                      <a:avLst/>
                    </a:prstGeom>
                    <ask:type>
                      <ask:lineSketchScribble/>
                    </ask:type>
                  </ask:lineSketchStyleProps>
                </a:ext>
              </a:extLst>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0" name="TextBox 29">
              <a:extLst>
                <a:ext uri="{FF2B5EF4-FFF2-40B4-BE49-F238E27FC236}">
                  <a16:creationId xmlns:a16="http://schemas.microsoft.com/office/drawing/2014/main" id="{86D29D80-7918-0F94-E06D-FA711D007AE3}"/>
                </a:ext>
              </a:extLst>
            </xdr:cNvPr>
            <xdr:cNvSpPr txBox="1"/>
          </xdr:nvSpPr>
          <xdr:spPr>
            <a:xfrm>
              <a:off x="9144000" y="933450"/>
              <a:ext cx="101917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rPr>
                <a:t>SLA BY TYPE</a:t>
              </a:r>
            </a:p>
          </xdr:txBody>
        </xdr:sp>
        <xdr:sp macro="" textlink="KPI!F7">
          <xdr:nvSpPr>
            <xdr:cNvPr id="14" name="TextBox 13">
              <a:extLst>
                <a:ext uri="{FF2B5EF4-FFF2-40B4-BE49-F238E27FC236}">
                  <a16:creationId xmlns:a16="http://schemas.microsoft.com/office/drawing/2014/main" id="{248B2998-2E22-4EE0-BCE0-B4361DFCE7FA}"/>
                </a:ext>
              </a:extLst>
            </xdr:cNvPr>
            <xdr:cNvSpPr txBox="1"/>
          </xdr:nvSpPr>
          <xdr:spPr>
            <a:xfrm>
              <a:off x="8820149" y="1208768"/>
              <a:ext cx="982397"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9E7DD60-6858-485E-83F9-AD88C8653EAD}" type="TxLink">
                <a:rPr lang="en-US" sz="3200" b="1" i="0" u="none" strike="noStrike">
                  <a:solidFill>
                    <a:schemeClr val="bg1"/>
                  </a:solidFill>
                  <a:latin typeface="Calibri"/>
                  <a:ea typeface="Calibri"/>
                  <a:cs typeface="Calibri"/>
                </a:rPr>
                <a:t>83%</a:t>
              </a:fld>
              <a:endParaRPr lang="en-IN" sz="3200" b="1">
                <a:solidFill>
                  <a:schemeClr val="bg1"/>
                </a:solidFill>
              </a:endParaRPr>
            </a:p>
          </xdr:txBody>
        </xdr:sp>
        <xdr:sp macro="" textlink="KPI!F8">
          <xdr:nvSpPr>
            <xdr:cNvPr id="17" name="TextBox 16">
              <a:extLst>
                <a:ext uri="{FF2B5EF4-FFF2-40B4-BE49-F238E27FC236}">
                  <a16:creationId xmlns:a16="http://schemas.microsoft.com/office/drawing/2014/main" id="{85E242D9-1F45-ADD2-DB99-9D50F84CF902}"/>
                </a:ext>
              </a:extLst>
            </xdr:cNvPr>
            <xdr:cNvSpPr txBox="1"/>
          </xdr:nvSpPr>
          <xdr:spPr>
            <a:xfrm>
              <a:off x="9629775" y="1195614"/>
              <a:ext cx="1057009" cy="4739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1482CE1-602C-42E3-88E6-60DDD2428F23}" type="TxLink">
                <a:rPr lang="en-US" sz="3200" b="1" i="0" u="none" strike="noStrike">
                  <a:solidFill>
                    <a:schemeClr val="bg1"/>
                  </a:solidFill>
                  <a:latin typeface="Calibri"/>
                  <a:ea typeface="Calibri"/>
                  <a:cs typeface="Calibri"/>
                </a:rPr>
                <a:t>84%</a:t>
              </a:fld>
              <a:endParaRPr lang="en-IN" sz="3200" b="1">
                <a:solidFill>
                  <a:schemeClr val="bg1"/>
                </a:solidFill>
              </a:endParaRPr>
            </a:p>
          </xdr:txBody>
        </xdr:sp>
      </xdr:grpSp>
    </xdr:grpSp>
    <xdr:clientData/>
  </xdr:twoCellAnchor>
  <xdr:twoCellAnchor>
    <xdr:from>
      <xdr:col>2</xdr:col>
      <xdr:colOff>209550</xdr:colOff>
      <xdr:row>9</xdr:row>
      <xdr:rowOff>239329</xdr:rowOff>
    </xdr:from>
    <xdr:to>
      <xdr:col>17</xdr:col>
      <xdr:colOff>504825</xdr:colOff>
      <xdr:row>48</xdr:row>
      <xdr:rowOff>5185</xdr:rowOff>
    </xdr:to>
    <xdr:grpSp>
      <xdr:nvGrpSpPr>
        <xdr:cNvPr id="50" name="Group 49">
          <a:extLst>
            <a:ext uri="{FF2B5EF4-FFF2-40B4-BE49-F238E27FC236}">
              <a16:creationId xmlns:a16="http://schemas.microsoft.com/office/drawing/2014/main" id="{0E494525-36B2-AE03-C917-1FC6BF887A20}"/>
            </a:ext>
          </a:extLst>
        </xdr:cNvPr>
        <xdr:cNvGrpSpPr/>
      </xdr:nvGrpSpPr>
      <xdr:grpSpPr>
        <a:xfrm>
          <a:off x="932968" y="2819519"/>
          <a:ext cx="9518851" cy="6578039"/>
          <a:chOff x="914400" y="3086099"/>
          <a:chExt cx="9582150" cy="6629402"/>
        </a:xfrm>
      </xdr:grpSpPr>
      <xdr:graphicFrame macro="">
        <xdr:nvGraphicFramePr>
          <xdr:cNvPr id="42" name="Chart 10">
            <a:extLst>
              <a:ext uri="{FF2B5EF4-FFF2-40B4-BE49-F238E27FC236}">
                <a16:creationId xmlns:a16="http://schemas.microsoft.com/office/drawing/2014/main" id="{ED940918-EAE6-2285-3901-4E8A90A6DEF5}"/>
              </a:ext>
            </a:extLst>
          </xdr:cNvPr>
          <xdr:cNvGraphicFramePr/>
        </xdr:nvGraphicFramePr>
        <xdr:xfrm>
          <a:off x="942976" y="3090863"/>
          <a:ext cx="3371850" cy="1919288"/>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43" name="Chart 5">
            <a:extLst>
              <a:ext uri="{FF2B5EF4-FFF2-40B4-BE49-F238E27FC236}">
                <a16:creationId xmlns:a16="http://schemas.microsoft.com/office/drawing/2014/main" id="{4504CB6F-D3BC-9768-0297-51D334E200D7}"/>
              </a:ext>
            </a:extLst>
          </xdr:cNvPr>
          <xdr:cNvGraphicFramePr/>
        </xdr:nvGraphicFramePr>
        <xdr:xfrm>
          <a:off x="4591050" y="3086099"/>
          <a:ext cx="5886449" cy="1943101"/>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44" name="Chart 11">
            <a:extLst>
              <a:ext uri="{FF2B5EF4-FFF2-40B4-BE49-F238E27FC236}">
                <a16:creationId xmlns:a16="http://schemas.microsoft.com/office/drawing/2014/main" id="{3C8197A6-0572-3024-963D-E4DAEC94845F}"/>
              </a:ext>
            </a:extLst>
          </xdr:cNvPr>
          <xdr:cNvGraphicFramePr/>
        </xdr:nvGraphicFramePr>
        <xdr:xfrm>
          <a:off x="923925" y="5195887"/>
          <a:ext cx="4914900" cy="2547938"/>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46" name="Chart 12">
            <a:extLst>
              <a:ext uri="{FF2B5EF4-FFF2-40B4-BE49-F238E27FC236}">
                <a16:creationId xmlns:a16="http://schemas.microsoft.com/office/drawing/2014/main" id="{258F708A-75EF-AD68-1969-433D33B5B8D5}"/>
              </a:ext>
            </a:extLst>
          </xdr:cNvPr>
          <xdr:cNvGraphicFramePr/>
        </xdr:nvGraphicFramePr>
        <xdr:xfrm>
          <a:off x="6124574" y="5200649"/>
          <a:ext cx="4371975" cy="2562225"/>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47" name="Chart 13">
            <a:extLst>
              <a:ext uri="{FF2B5EF4-FFF2-40B4-BE49-F238E27FC236}">
                <a16:creationId xmlns:a16="http://schemas.microsoft.com/office/drawing/2014/main" id="{4C860153-6F0C-FDF2-54CC-F9995FC876E1}"/>
              </a:ext>
            </a:extLst>
          </xdr:cNvPr>
          <xdr:cNvGraphicFramePr/>
        </xdr:nvGraphicFramePr>
        <xdr:xfrm>
          <a:off x="914400" y="7910513"/>
          <a:ext cx="9582150" cy="1804988"/>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priya\Downloads\ticket_dataset%20(1).xlsx" TargetMode="External"/><Relationship Id="rId1" Type="http://schemas.openxmlformats.org/officeDocument/2006/relationships/externalLinkPath" Target="ticket_dataset%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aw Data"/>
      <sheetName val="KPI"/>
      <sheetName val="Pivot tables"/>
    </sheetNames>
    <sheetDataSet>
      <sheetData sheetId="0"/>
      <sheetData sheetId="1">
        <row r="6">
          <cell r="E6">
            <v>0.83333333333333337</v>
          </cell>
        </row>
        <row r="7">
          <cell r="E7">
            <v>0.84375</v>
          </cell>
        </row>
      </sheetData>
      <sheetData sheetId="2"/>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wri Priya" refreshedDate="46132.430220601855" createdVersion="8" refreshedVersion="8" minRefreshableVersion="3" recordCount="100" xr:uid="{D43140F9-484A-4A63-BBB8-E370A4FC2FA5}">
  <cacheSource type="worksheet">
    <worksheetSource name="TicketData"/>
  </cacheSource>
  <cacheFields count="12">
    <cacheField name="Ticket ID" numFmtId="0">
      <sharedItems/>
    </cacheField>
    <cacheField name="Date Raised" numFmtId="0">
      <sharedItems/>
    </cacheField>
    <cacheField name="Category" numFmtId="0">
      <sharedItems count="5">
        <s v="Physical Location"/>
        <s v="Menu Update"/>
        <s v="Storefront"/>
        <s v="Franchise Location"/>
        <s v="Account Access"/>
      </sharedItems>
    </cacheField>
    <cacheField name="Priority" numFmtId="0">
      <sharedItems count="3">
        <s v="High"/>
        <s v="Low"/>
        <s v="Medium"/>
      </sharedItems>
    </cacheField>
    <cacheField name="Status" numFmtId="0">
      <sharedItems count="4">
        <s v="Pending Reporter"/>
        <s v="Closed"/>
        <s v="Open"/>
        <s v="In Review"/>
      </sharedItems>
    </cacheField>
    <cacheField name="Reporter" numFmtId="0">
      <sharedItems count="8">
        <s v="Divya R"/>
        <s v="Ravi K"/>
        <s v="Suresh B"/>
        <s v="Ananya S"/>
        <s v="Priya N"/>
        <s v="Karthik M"/>
        <s v="Meena P"/>
        <s v="Arjun T"/>
      </sharedItems>
    </cacheField>
    <cacheField name="Assigned To" numFmtId="0">
      <sharedItems count="5">
        <s v="Rahul D"/>
        <s v="Lakshmi A"/>
        <s v="GowriPriya"/>
        <s v="Manoj C"/>
        <s v="Sneha V"/>
      </sharedItems>
    </cacheField>
    <cacheField name="SLA Type" numFmtId="0">
      <sharedItems count="2">
        <s v="Same-Day"/>
        <s v="24-Hour"/>
      </sharedItems>
    </cacheField>
    <cacheField name="Resolution Date" numFmtId="0">
      <sharedItems containsBlank="1"/>
    </cacheField>
    <cacheField name="SLA Met" numFmtId="0">
      <sharedItems count="3">
        <s v="Pending"/>
        <s v="Yes"/>
        <s v="No"/>
      </sharedItems>
    </cacheField>
    <cacheField name="Month" numFmtId="0">
      <sharedItems/>
    </cacheField>
    <cacheField name="SLA Result" numFmtId="0">
      <sharedItems/>
    </cacheField>
  </cacheFields>
  <extLst>
    <ext xmlns:x14="http://schemas.microsoft.com/office/spreadsheetml/2009/9/main" uri="{725AE2AE-9491-48be-B2B4-4EB974FC3084}">
      <x14:pivotCacheDefinition pivotCacheId="19290413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TKT-1001"/>
    <s v="2025-03-23"/>
    <x v="0"/>
    <x v="0"/>
    <x v="0"/>
    <x v="0"/>
    <x v="0"/>
    <x v="0"/>
    <m/>
    <x v="0"/>
    <s v="Mar 2025"/>
    <s v="Breached"/>
  </r>
  <r>
    <s v="TKT-1002"/>
    <s v="2025-01-18"/>
    <x v="0"/>
    <x v="1"/>
    <x v="0"/>
    <x v="1"/>
    <x v="1"/>
    <x v="1"/>
    <m/>
    <x v="0"/>
    <s v="Jan 2025"/>
    <s v="Breached"/>
  </r>
  <r>
    <s v="TKT-1003"/>
    <s v="2025-01-05"/>
    <x v="0"/>
    <x v="0"/>
    <x v="1"/>
    <x v="2"/>
    <x v="1"/>
    <x v="0"/>
    <s v="2025-01-05"/>
    <x v="1"/>
    <s v="Jan 2025"/>
    <s v="Met"/>
  </r>
  <r>
    <s v="TKT-1004"/>
    <s v="2025-01-29"/>
    <x v="1"/>
    <x v="1"/>
    <x v="1"/>
    <x v="3"/>
    <x v="0"/>
    <x v="1"/>
    <s v="2025-01-29"/>
    <x v="1"/>
    <s v="Jan 2025"/>
    <s v="Met"/>
  </r>
  <r>
    <s v="TKT-1005"/>
    <s v="2025-01-28"/>
    <x v="2"/>
    <x v="0"/>
    <x v="1"/>
    <x v="4"/>
    <x v="2"/>
    <x v="1"/>
    <s v="2025-01-29"/>
    <x v="2"/>
    <s v="Jan 2025"/>
    <s v="Breached"/>
  </r>
  <r>
    <s v="TKT-1006"/>
    <s v="2025-02-03"/>
    <x v="0"/>
    <x v="1"/>
    <x v="2"/>
    <x v="1"/>
    <x v="3"/>
    <x v="0"/>
    <m/>
    <x v="0"/>
    <s v="Feb 2025"/>
    <s v="Breached"/>
  </r>
  <r>
    <s v="TKT-1007"/>
    <s v="2025-03-12"/>
    <x v="2"/>
    <x v="1"/>
    <x v="3"/>
    <x v="5"/>
    <x v="1"/>
    <x v="0"/>
    <m/>
    <x v="0"/>
    <s v="Mar 2025"/>
    <s v="Breached"/>
  </r>
  <r>
    <s v="TKT-1008"/>
    <s v="2025-01-09"/>
    <x v="0"/>
    <x v="1"/>
    <x v="1"/>
    <x v="0"/>
    <x v="2"/>
    <x v="0"/>
    <s v="2025-01-09"/>
    <x v="2"/>
    <s v="Jan 2025"/>
    <s v="Breached"/>
  </r>
  <r>
    <s v="TKT-1009"/>
    <s v="2025-02-05"/>
    <x v="1"/>
    <x v="1"/>
    <x v="1"/>
    <x v="6"/>
    <x v="4"/>
    <x v="1"/>
    <s v="2025-02-05"/>
    <x v="1"/>
    <s v="Feb 2025"/>
    <s v="Met"/>
  </r>
  <r>
    <s v="TKT-1010"/>
    <s v="2025-03-31"/>
    <x v="0"/>
    <x v="1"/>
    <x v="0"/>
    <x v="6"/>
    <x v="1"/>
    <x v="0"/>
    <m/>
    <x v="0"/>
    <s v="Mar 2025"/>
    <s v="Breached"/>
  </r>
  <r>
    <s v="TKT-1011"/>
    <s v="2025-01-21"/>
    <x v="1"/>
    <x v="2"/>
    <x v="1"/>
    <x v="2"/>
    <x v="4"/>
    <x v="0"/>
    <s v="2025-01-21"/>
    <x v="1"/>
    <s v="Jan 2025"/>
    <s v="Met"/>
  </r>
  <r>
    <s v="TKT-1012"/>
    <s v="2025-02-10"/>
    <x v="1"/>
    <x v="2"/>
    <x v="1"/>
    <x v="2"/>
    <x v="1"/>
    <x v="1"/>
    <s v="2025-02-10"/>
    <x v="1"/>
    <s v="Feb 2025"/>
    <s v="Met"/>
  </r>
  <r>
    <s v="TKT-1013"/>
    <s v="2025-02-20"/>
    <x v="1"/>
    <x v="0"/>
    <x v="1"/>
    <x v="6"/>
    <x v="0"/>
    <x v="1"/>
    <s v="2025-02-20"/>
    <x v="1"/>
    <s v="Feb 2025"/>
    <s v="Met"/>
  </r>
  <r>
    <s v="TKT-1014"/>
    <s v="2025-03-16"/>
    <x v="1"/>
    <x v="2"/>
    <x v="1"/>
    <x v="6"/>
    <x v="1"/>
    <x v="1"/>
    <s v="2025-03-16"/>
    <x v="1"/>
    <s v="Mar 2025"/>
    <s v="Met"/>
  </r>
  <r>
    <s v="TKT-1015"/>
    <s v="2025-01-15"/>
    <x v="3"/>
    <x v="1"/>
    <x v="1"/>
    <x v="4"/>
    <x v="1"/>
    <x v="0"/>
    <s v="2025-01-15"/>
    <x v="1"/>
    <s v="Jan 2025"/>
    <s v="Met"/>
  </r>
  <r>
    <s v="TKT-1016"/>
    <s v="2025-03-09"/>
    <x v="2"/>
    <x v="1"/>
    <x v="1"/>
    <x v="1"/>
    <x v="1"/>
    <x v="1"/>
    <s v="2025-03-09"/>
    <x v="1"/>
    <s v="Mar 2025"/>
    <s v="Met"/>
  </r>
  <r>
    <s v="TKT-1017"/>
    <s v="2025-01-15"/>
    <x v="2"/>
    <x v="2"/>
    <x v="1"/>
    <x v="7"/>
    <x v="2"/>
    <x v="1"/>
    <s v="2025-01-16"/>
    <x v="2"/>
    <s v="Jan 2025"/>
    <s v="Breached"/>
  </r>
  <r>
    <s v="TKT-1018"/>
    <s v="2025-03-06"/>
    <x v="0"/>
    <x v="1"/>
    <x v="1"/>
    <x v="2"/>
    <x v="0"/>
    <x v="1"/>
    <s v="2025-03-06"/>
    <x v="1"/>
    <s v="Mar 2025"/>
    <s v="Met"/>
  </r>
  <r>
    <s v="TKT-1019"/>
    <s v="2025-03-09"/>
    <x v="0"/>
    <x v="1"/>
    <x v="1"/>
    <x v="7"/>
    <x v="2"/>
    <x v="0"/>
    <s v="2025-03-09"/>
    <x v="2"/>
    <s v="Mar 2025"/>
    <s v="Breached"/>
  </r>
  <r>
    <s v="TKT-1020"/>
    <s v="2025-01-31"/>
    <x v="0"/>
    <x v="0"/>
    <x v="3"/>
    <x v="1"/>
    <x v="2"/>
    <x v="1"/>
    <m/>
    <x v="0"/>
    <s v="Jan 2025"/>
    <s v="Breached"/>
  </r>
  <r>
    <s v="TKT-1021"/>
    <s v="2025-01-09"/>
    <x v="4"/>
    <x v="0"/>
    <x v="1"/>
    <x v="7"/>
    <x v="1"/>
    <x v="0"/>
    <s v="2025-01-09"/>
    <x v="1"/>
    <s v="Jan 2025"/>
    <s v="Met"/>
  </r>
  <r>
    <s v="TKT-1022"/>
    <s v="2025-01-28"/>
    <x v="4"/>
    <x v="1"/>
    <x v="0"/>
    <x v="2"/>
    <x v="4"/>
    <x v="1"/>
    <m/>
    <x v="0"/>
    <s v="Jan 2025"/>
    <s v="Breached"/>
  </r>
  <r>
    <s v="TKT-1023"/>
    <s v="2025-03-27"/>
    <x v="2"/>
    <x v="2"/>
    <x v="3"/>
    <x v="7"/>
    <x v="2"/>
    <x v="0"/>
    <m/>
    <x v="0"/>
    <s v="Mar 2025"/>
    <s v="Breached"/>
  </r>
  <r>
    <s v="TKT-1024"/>
    <s v="2025-01-29"/>
    <x v="0"/>
    <x v="2"/>
    <x v="1"/>
    <x v="2"/>
    <x v="1"/>
    <x v="0"/>
    <s v="2025-01-29"/>
    <x v="1"/>
    <s v="Jan 2025"/>
    <s v="Met"/>
  </r>
  <r>
    <s v="TKT-1025"/>
    <s v="2025-01-30"/>
    <x v="0"/>
    <x v="0"/>
    <x v="1"/>
    <x v="1"/>
    <x v="1"/>
    <x v="0"/>
    <s v="2025-01-30"/>
    <x v="1"/>
    <s v="Jan 2025"/>
    <s v="Met"/>
  </r>
  <r>
    <s v="TKT-1026"/>
    <s v="2025-01-28"/>
    <x v="4"/>
    <x v="0"/>
    <x v="0"/>
    <x v="7"/>
    <x v="0"/>
    <x v="1"/>
    <m/>
    <x v="0"/>
    <s v="Jan 2025"/>
    <s v="Breached"/>
  </r>
  <r>
    <s v="TKT-1027"/>
    <s v="2025-02-22"/>
    <x v="3"/>
    <x v="0"/>
    <x v="1"/>
    <x v="4"/>
    <x v="4"/>
    <x v="1"/>
    <s v="2025-02-23"/>
    <x v="1"/>
    <s v="Feb 2025"/>
    <s v="Met"/>
  </r>
  <r>
    <s v="TKT-1028"/>
    <s v="2025-01-07"/>
    <x v="0"/>
    <x v="0"/>
    <x v="2"/>
    <x v="5"/>
    <x v="2"/>
    <x v="0"/>
    <m/>
    <x v="0"/>
    <s v="Jan 2025"/>
    <s v="Breached"/>
  </r>
  <r>
    <s v="TKT-1029"/>
    <s v="2025-01-25"/>
    <x v="3"/>
    <x v="1"/>
    <x v="2"/>
    <x v="6"/>
    <x v="3"/>
    <x v="0"/>
    <m/>
    <x v="0"/>
    <s v="Jan 2025"/>
    <s v="Breached"/>
  </r>
  <r>
    <s v="TKT-1030"/>
    <s v="2025-02-05"/>
    <x v="1"/>
    <x v="0"/>
    <x v="1"/>
    <x v="7"/>
    <x v="1"/>
    <x v="0"/>
    <s v="2025-02-05"/>
    <x v="1"/>
    <s v="Feb 2025"/>
    <s v="Met"/>
  </r>
  <r>
    <s v="TKT-1031"/>
    <s v="2025-01-12"/>
    <x v="3"/>
    <x v="0"/>
    <x v="2"/>
    <x v="7"/>
    <x v="3"/>
    <x v="0"/>
    <m/>
    <x v="0"/>
    <s v="Jan 2025"/>
    <s v="Breached"/>
  </r>
  <r>
    <s v="TKT-1032"/>
    <s v="2025-02-21"/>
    <x v="0"/>
    <x v="0"/>
    <x v="2"/>
    <x v="3"/>
    <x v="3"/>
    <x v="1"/>
    <m/>
    <x v="0"/>
    <s v="Feb 2025"/>
    <s v="Breached"/>
  </r>
  <r>
    <s v="TKT-1033"/>
    <s v="2025-02-28"/>
    <x v="2"/>
    <x v="2"/>
    <x v="0"/>
    <x v="7"/>
    <x v="0"/>
    <x v="0"/>
    <m/>
    <x v="0"/>
    <s v="Feb 2025"/>
    <s v="Breached"/>
  </r>
  <r>
    <s v="TKT-1034"/>
    <s v="2025-02-07"/>
    <x v="3"/>
    <x v="0"/>
    <x v="3"/>
    <x v="3"/>
    <x v="4"/>
    <x v="0"/>
    <m/>
    <x v="0"/>
    <s v="Feb 2025"/>
    <s v="Breached"/>
  </r>
  <r>
    <s v="TKT-1035"/>
    <s v="2025-01-07"/>
    <x v="4"/>
    <x v="2"/>
    <x v="3"/>
    <x v="6"/>
    <x v="2"/>
    <x v="0"/>
    <m/>
    <x v="0"/>
    <s v="Jan 2025"/>
    <s v="Breached"/>
  </r>
  <r>
    <s v="TKT-1036"/>
    <s v="2025-01-24"/>
    <x v="0"/>
    <x v="1"/>
    <x v="1"/>
    <x v="2"/>
    <x v="3"/>
    <x v="0"/>
    <s v="2025-01-25"/>
    <x v="2"/>
    <s v="Jan 2025"/>
    <s v="Breached"/>
  </r>
  <r>
    <s v="TKT-1037"/>
    <s v="2025-02-01"/>
    <x v="4"/>
    <x v="1"/>
    <x v="1"/>
    <x v="1"/>
    <x v="3"/>
    <x v="1"/>
    <s v="2025-02-02"/>
    <x v="2"/>
    <s v="Feb 2025"/>
    <s v="Breached"/>
  </r>
  <r>
    <s v="TKT-1038"/>
    <s v="2025-03-27"/>
    <x v="2"/>
    <x v="0"/>
    <x v="1"/>
    <x v="4"/>
    <x v="0"/>
    <x v="1"/>
    <s v="2025-03-27"/>
    <x v="1"/>
    <s v="Mar 2025"/>
    <s v="Met"/>
  </r>
  <r>
    <s v="TKT-1039"/>
    <s v="2025-01-02"/>
    <x v="1"/>
    <x v="1"/>
    <x v="3"/>
    <x v="1"/>
    <x v="2"/>
    <x v="0"/>
    <m/>
    <x v="0"/>
    <s v="Jan 2025"/>
    <s v="Breached"/>
  </r>
  <r>
    <s v="TKT-1040"/>
    <s v="2025-03-06"/>
    <x v="2"/>
    <x v="0"/>
    <x v="1"/>
    <x v="1"/>
    <x v="0"/>
    <x v="1"/>
    <s v="2025-03-06"/>
    <x v="1"/>
    <s v="Mar 2025"/>
    <s v="Met"/>
  </r>
  <r>
    <s v="TKT-1041"/>
    <s v="2025-03-11"/>
    <x v="2"/>
    <x v="1"/>
    <x v="0"/>
    <x v="3"/>
    <x v="1"/>
    <x v="1"/>
    <m/>
    <x v="0"/>
    <s v="Mar 2025"/>
    <s v="Breached"/>
  </r>
  <r>
    <s v="TKT-1042"/>
    <s v="2025-03-26"/>
    <x v="0"/>
    <x v="0"/>
    <x v="1"/>
    <x v="1"/>
    <x v="2"/>
    <x v="0"/>
    <s v="2025-03-26"/>
    <x v="1"/>
    <s v="Mar 2025"/>
    <s v="Met"/>
  </r>
  <r>
    <s v="TKT-1043"/>
    <s v="2025-02-13"/>
    <x v="3"/>
    <x v="1"/>
    <x v="0"/>
    <x v="0"/>
    <x v="1"/>
    <x v="1"/>
    <m/>
    <x v="0"/>
    <s v="Feb 2025"/>
    <s v="Breached"/>
  </r>
  <r>
    <s v="TKT-1044"/>
    <s v="2025-02-02"/>
    <x v="0"/>
    <x v="0"/>
    <x v="0"/>
    <x v="4"/>
    <x v="4"/>
    <x v="0"/>
    <m/>
    <x v="0"/>
    <s v="Feb 2025"/>
    <s v="Breached"/>
  </r>
  <r>
    <s v="TKT-1045"/>
    <s v="2025-01-01"/>
    <x v="2"/>
    <x v="0"/>
    <x v="0"/>
    <x v="0"/>
    <x v="0"/>
    <x v="1"/>
    <m/>
    <x v="0"/>
    <s v="Jan 2025"/>
    <s v="Breached"/>
  </r>
  <r>
    <s v="TKT-1046"/>
    <s v="2025-03-12"/>
    <x v="1"/>
    <x v="1"/>
    <x v="1"/>
    <x v="1"/>
    <x v="2"/>
    <x v="0"/>
    <s v="2025-03-12"/>
    <x v="1"/>
    <s v="Mar 2025"/>
    <s v="Met"/>
  </r>
  <r>
    <s v="TKT-1047"/>
    <s v="2025-03-16"/>
    <x v="4"/>
    <x v="0"/>
    <x v="2"/>
    <x v="6"/>
    <x v="2"/>
    <x v="1"/>
    <m/>
    <x v="0"/>
    <s v="Mar 2025"/>
    <s v="Breached"/>
  </r>
  <r>
    <s v="TKT-1048"/>
    <s v="2025-02-16"/>
    <x v="0"/>
    <x v="2"/>
    <x v="1"/>
    <x v="2"/>
    <x v="2"/>
    <x v="1"/>
    <s v="2025-02-16"/>
    <x v="1"/>
    <s v="Feb 2025"/>
    <s v="Met"/>
  </r>
  <r>
    <s v="TKT-1049"/>
    <s v="2025-03-21"/>
    <x v="3"/>
    <x v="0"/>
    <x v="1"/>
    <x v="6"/>
    <x v="3"/>
    <x v="0"/>
    <s v="2025-03-21"/>
    <x v="1"/>
    <s v="Mar 2025"/>
    <s v="Met"/>
  </r>
  <r>
    <s v="TKT-1050"/>
    <s v="2025-02-22"/>
    <x v="3"/>
    <x v="2"/>
    <x v="1"/>
    <x v="1"/>
    <x v="3"/>
    <x v="0"/>
    <s v="2025-02-22"/>
    <x v="2"/>
    <s v="Feb 2025"/>
    <s v="Breached"/>
  </r>
  <r>
    <s v="TKT-1051"/>
    <s v="2025-01-26"/>
    <x v="1"/>
    <x v="2"/>
    <x v="1"/>
    <x v="2"/>
    <x v="0"/>
    <x v="0"/>
    <s v="2025-01-26"/>
    <x v="1"/>
    <s v="Jan 2025"/>
    <s v="Met"/>
  </r>
  <r>
    <s v="TKT-1052"/>
    <s v="2025-02-12"/>
    <x v="2"/>
    <x v="0"/>
    <x v="1"/>
    <x v="5"/>
    <x v="1"/>
    <x v="1"/>
    <s v="2025-02-12"/>
    <x v="1"/>
    <s v="Feb 2025"/>
    <s v="Met"/>
  </r>
  <r>
    <s v="TKT-1053"/>
    <s v="2025-02-12"/>
    <x v="0"/>
    <x v="0"/>
    <x v="1"/>
    <x v="6"/>
    <x v="1"/>
    <x v="1"/>
    <s v="2025-02-12"/>
    <x v="1"/>
    <s v="Feb 2025"/>
    <s v="Met"/>
  </r>
  <r>
    <s v="TKT-1054"/>
    <s v="2025-02-25"/>
    <x v="2"/>
    <x v="1"/>
    <x v="1"/>
    <x v="4"/>
    <x v="1"/>
    <x v="0"/>
    <s v="2025-02-25"/>
    <x v="1"/>
    <s v="Feb 2025"/>
    <s v="Met"/>
  </r>
  <r>
    <s v="TKT-1055"/>
    <s v="2025-02-02"/>
    <x v="0"/>
    <x v="1"/>
    <x v="2"/>
    <x v="3"/>
    <x v="1"/>
    <x v="0"/>
    <m/>
    <x v="0"/>
    <s v="Feb 2025"/>
    <s v="Breached"/>
  </r>
  <r>
    <s v="TKT-1056"/>
    <s v="2025-02-16"/>
    <x v="1"/>
    <x v="0"/>
    <x v="0"/>
    <x v="5"/>
    <x v="1"/>
    <x v="1"/>
    <m/>
    <x v="0"/>
    <s v="Feb 2025"/>
    <s v="Breached"/>
  </r>
  <r>
    <s v="TKT-1057"/>
    <s v="2025-03-26"/>
    <x v="0"/>
    <x v="1"/>
    <x v="1"/>
    <x v="0"/>
    <x v="3"/>
    <x v="1"/>
    <s v="2025-03-26"/>
    <x v="1"/>
    <s v="Mar 2025"/>
    <s v="Met"/>
  </r>
  <r>
    <s v="TKT-1058"/>
    <s v="2025-03-12"/>
    <x v="3"/>
    <x v="0"/>
    <x v="2"/>
    <x v="4"/>
    <x v="0"/>
    <x v="1"/>
    <m/>
    <x v="0"/>
    <s v="Mar 2025"/>
    <s v="Breached"/>
  </r>
  <r>
    <s v="TKT-1059"/>
    <s v="2025-02-21"/>
    <x v="4"/>
    <x v="0"/>
    <x v="1"/>
    <x v="0"/>
    <x v="0"/>
    <x v="1"/>
    <s v="2025-02-21"/>
    <x v="1"/>
    <s v="Feb 2025"/>
    <s v="Met"/>
  </r>
  <r>
    <s v="TKT-1060"/>
    <s v="2025-03-25"/>
    <x v="2"/>
    <x v="2"/>
    <x v="2"/>
    <x v="7"/>
    <x v="0"/>
    <x v="1"/>
    <m/>
    <x v="0"/>
    <s v="Mar 2025"/>
    <s v="Breached"/>
  </r>
  <r>
    <s v="TKT-1061"/>
    <s v="2025-01-22"/>
    <x v="0"/>
    <x v="2"/>
    <x v="3"/>
    <x v="5"/>
    <x v="2"/>
    <x v="0"/>
    <m/>
    <x v="0"/>
    <s v="Jan 2025"/>
    <s v="Breached"/>
  </r>
  <r>
    <s v="TKT-1062"/>
    <s v="2025-03-28"/>
    <x v="2"/>
    <x v="0"/>
    <x v="1"/>
    <x v="6"/>
    <x v="2"/>
    <x v="0"/>
    <s v="2025-03-28"/>
    <x v="1"/>
    <s v="Mar 2025"/>
    <s v="Met"/>
  </r>
  <r>
    <s v="TKT-1063"/>
    <s v="2025-03-20"/>
    <x v="0"/>
    <x v="2"/>
    <x v="2"/>
    <x v="2"/>
    <x v="3"/>
    <x v="1"/>
    <m/>
    <x v="0"/>
    <s v="Mar 2025"/>
    <s v="Breached"/>
  </r>
  <r>
    <s v="TKT-1064"/>
    <s v="2025-02-21"/>
    <x v="3"/>
    <x v="0"/>
    <x v="0"/>
    <x v="3"/>
    <x v="2"/>
    <x v="1"/>
    <m/>
    <x v="0"/>
    <s v="Feb 2025"/>
    <s v="Breached"/>
  </r>
  <r>
    <s v="TKT-1065"/>
    <s v="2025-01-29"/>
    <x v="3"/>
    <x v="1"/>
    <x v="3"/>
    <x v="7"/>
    <x v="2"/>
    <x v="0"/>
    <m/>
    <x v="0"/>
    <s v="Jan 2025"/>
    <s v="Breached"/>
  </r>
  <r>
    <s v="TKT-1066"/>
    <s v="2025-01-16"/>
    <x v="1"/>
    <x v="0"/>
    <x v="2"/>
    <x v="5"/>
    <x v="3"/>
    <x v="1"/>
    <m/>
    <x v="0"/>
    <s v="Jan 2025"/>
    <s v="Breached"/>
  </r>
  <r>
    <s v="TKT-1067"/>
    <s v="2025-03-12"/>
    <x v="1"/>
    <x v="0"/>
    <x v="0"/>
    <x v="7"/>
    <x v="3"/>
    <x v="1"/>
    <m/>
    <x v="0"/>
    <s v="Mar 2025"/>
    <s v="Breached"/>
  </r>
  <r>
    <s v="TKT-1068"/>
    <s v="2025-02-01"/>
    <x v="2"/>
    <x v="1"/>
    <x v="2"/>
    <x v="2"/>
    <x v="4"/>
    <x v="1"/>
    <m/>
    <x v="0"/>
    <s v="Feb 2025"/>
    <s v="Breached"/>
  </r>
  <r>
    <s v="TKT-1069"/>
    <s v="2025-01-10"/>
    <x v="2"/>
    <x v="0"/>
    <x v="1"/>
    <x v="5"/>
    <x v="4"/>
    <x v="0"/>
    <s v="2025-01-10"/>
    <x v="1"/>
    <s v="Jan 2025"/>
    <s v="Met"/>
  </r>
  <r>
    <s v="TKT-1070"/>
    <s v="2025-02-19"/>
    <x v="3"/>
    <x v="1"/>
    <x v="1"/>
    <x v="1"/>
    <x v="3"/>
    <x v="1"/>
    <s v="2025-02-19"/>
    <x v="1"/>
    <s v="Feb 2025"/>
    <s v="Met"/>
  </r>
  <r>
    <s v="TKT-1071"/>
    <s v="2025-02-23"/>
    <x v="0"/>
    <x v="0"/>
    <x v="2"/>
    <x v="4"/>
    <x v="1"/>
    <x v="0"/>
    <m/>
    <x v="0"/>
    <s v="Feb 2025"/>
    <s v="Breached"/>
  </r>
  <r>
    <s v="TKT-1072"/>
    <s v="2025-03-15"/>
    <x v="1"/>
    <x v="2"/>
    <x v="1"/>
    <x v="5"/>
    <x v="4"/>
    <x v="1"/>
    <s v="2025-03-16"/>
    <x v="2"/>
    <s v="Mar 2025"/>
    <s v="Breached"/>
  </r>
  <r>
    <s v="TKT-1073"/>
    <s v="2025-03-10"/>
    <x v="4"/>
    <x v="1"/>
    <x v="1"/>
    <x v="7"/>
    <x v="0"/>
    <x v="1"/>
    <s v="2025-03-10"/>
    <x v="1"/>
    <s v="Mar 2025"/>
    <s v="Met"/>
  </r>
  <r>
    <s v="TKT-1074"/>
    <s v="2025-02-19"/>
    <x v="2"/>
    <x v="1"/>
    <x v="0"/>
    <x v="4"/>
    <x v="0"/>
    <x v="1"/>
    <m/>
    <x v="0"/>
    <s v="Feb 2025"/>
    <s v="Breached"/>
  </r>
  <r>
    <s v="TKT-1075"/>
    <s v="2025-01-17"/>
    <x v="4"/>
    <x v="1"/>
    <x v="1"/>
    <x v="4"/>
    <x v="1"/>
    <x v="0"/>
    <s v="2025-01-17"/>
    <x v="1"/>
    <s v="Jan 2025"/>
    <s v="Met"/>
  </r>
  <r>
    <s v="TKT-1076"/>
    <s v="2025-01-18"/>
    <x v="1"/>
    <x v="0"/>
    <x v="1"/>
    <x v="0"/>
    <x v="3"/>
    <x v="1"/>
    <s v="2025-01-18"/>
    <x v="1"/>
    <s v="Jan 2025"/>
    <s v="Met"/>
  </r>
  <r>
    <s v="TKT-1077"/>
    <s v="2025-02-13"/>
    <x v="1"/>
    <x v="2"/>
    <x v="2"/>
    <x v="0"/>
    <x v="2"/>
    <x v="1"/>
    <m/>
    <x v="0"/>
    <s v="Feb 2025"/>
    <s v="Breached"/>
  </r>
  <r>
    <s v="TKT-1078"/>
    <s v="2025-01-03"/>
    <x v="4"/>
    <x v="0"/>
    <x v="1"/>
    <x v="2"/>
    <x v="2"/>
    <x v="0"/>
    <s v="2025-01-03"/>
    <x v="1"/>
    <s v="Jan 2025"/>
    <s v="Met"/>
  </r>
  <r>
    <s v="TKT-1079"/>
    <s v="2025-01-26"/>
    <x v="0"/>
    <x v="1"/>
    <x v="1"/>
    <x v="2"/>
    <x v="0"/>
    <x v="1"/>
    <s v="2025-01-26"/>
    <x v="1"/>
    <s v="Jan 2025"/>
    <s v="Met"/>
  </r>
  <r>
    <s v="TKT-1080"/>
    <s v="2025-01-28"/>
    <x v="1"/>
    <x v="1"/>
    <x v="1"/>
    <x v="5"/>
    <x v="0"/>
    <x v="0"/>
    <s v="2025-01-28"/>
    <x v="1"/>
    <s v="Jan 2025"/>
    <s v="Met"/>
  </r>
  <r>
    <s v="TKT-1081"/>
    <s v="2025-02-09"/>
    <x v="0"/>
    <x v="1"/>
    <x v="1"/>
    <x v="0"/>
    <x v="1"/>
    <x v="1"/>
    <s v="2025-02-09"/>
    <x v="1"/>
    <s v="Feb 2025"/>
    <s v="Met"/>
  </r>
  <r>
    <s v="TKT-1082"/>
    <s v="2025-01-26"/>
    <x v="0"/>
    <x v="1"/>
    <x v="0"/>
    <x v="2"/>
    <x v="2"/>
    <x v="1"/>
    <m/>
    <x v="0"/>
    <s v="Jan 2025"/>
    <s v="Breached"/>
  </r>
  <r>
    <s v="TKT-1083"/>
    <s v="2025-03-29"/>
    <x v="4"/>
    <x v="0"/>
    <x v="3"/>
    <x v="3"/>
    <x v="4"/>
    <x v="1"/>
    <m/>
    <x v="0"/>
    <s v="Mar 2025"/>
    <s v="Breached"/>
  </r>
  <r>
    <s v="TKT-1084"/>
    <s v="2025-03-26"/>
    <x v="2"/>
    <x v="0"/>
    <x v="3"/>
    <x v="5"/>
    <x v="2"/>
    <x v="1"/>
    <m/>
    <x v="0"/>
    <s v="Mar 2025"/>
    <s v="Breached"/>
  </r>
  <r>
    <s v="TKT-1085"/>
    <s v="2025-03-04"/>
    <x v="0"/>
    <x v="2"/>
    <x v="1"/>
    <x v="7"/>
    <x v="0"/>
    <x v="1"/>
    <s v="2025-03-04"/>
    <x v="1"/>
    <s v="Mar 2025"/>
    <s v="Met"/>
  </r>
  <r>
    <s v="TKT-1086"/>
    <s v="2025-03-25"/>
    <x v="2"/>
    <x v="1"/>
    <x v="3"/>
    <x v="7"/>
    <x v="3"/>
    <x v="1"/>
    <m/>
    <x v="0"/>
    <s v="Mar 2025"/>
    <s v="Breached"/>
  </r>
  <r>
    <s v="TKT-1087"/>
    <s v="2025-03-17"/>
    <x v="2"/>
    <x v="2"/>
    <x v="1"/>
    <x v="1"/>
    <x v="4"/>
    <x v="1"/>
    <s v="2025-03-17"/>
    <x v="1"/>
    <s v="Mar 2025"/>
    <s v="Met"/>
  </r>
  <r>
    <s v="TKT-1088"/>
    <s v="2025-03-14"/>
    <x v="4"/>
    <x v="1"/>
    <x v="2"/>
    <x v="5"/>
    <x v="2"/>
    <x v="1"/>
    <m/>
    <x v="0"/>
    <s v="Mar 2025"/>
    <s v="Breached"/>
  </r>
  <r>
    <s v="TKT-1089"/>
    <s v="2025-02-11"/>
    <x v="3"/>
    <x v="2"/>
    <x v="1"/>
    <x v="5"/>
    <x v="4"/>
    <x v="1"/>
    <s v="2025-02-11"/>
    <x v="1"/>
    <s v="Feb 2025"/>
    <s v="Met"/>
  </r>
  <r>
    <s v="TKT-1090"/>
    <s v="2025-03-31"/>
    <x v="2"/>
    <x v="1"/>
    <x v="1"/>
    <x v="2"/>
    <x v="2"/>
    <x v="0"/>
    <s v="2025-03-31"/>
    <x v="1"/>
    <s v="Mar 2025"/>
    <s v="Met"/>
  </r>
  <r>
    <s v="TKT-1091"/>
    <s v="2025-03-13"/>
    <x v="3"/>
    <x v="1"/>
    <x v="2"/>
    <x v="7"/>
    <x v="3"/>
    <x v="0"/>
    <m/>
    <x v="0"/>
    <s v="Mar 2025"/>
    <s v="Breached"/>
  </r>
  <r>
    <s v="TKT-1092"/>
    <s v="2025-01-12"/>
    <x v="2"/>
    <x v="0"/>
    <x v="2"/>
    <x v="2"/>
    <x v="4"/>
    <x v="1"/>
    <m/>
    <x v="0"/>
    <s v="Jan 2025"/>
    <s v="Breached"/>
  </r>
  <r>
    <s v="TKT-1093"/>
    <s v="2025-03-02"/>
    <x v="4"/>
    <x v="1"/>
    <x v="1"/>
    <x v="4"/>
    <x v="1"/>
    <x v="1"/>
    <s v="2025-03-02"/>
    <x v="1"/>
    <s v="Mar 2025"/>
    <s v="Met"/>
  </r>
  <r>
    <s v="TKT-1094"/>
    <s v="2025-02-04"/>
    <x v="2"/>
    <x v="2"/>
    <x v="1"/>
    <x v="1"/>
    <x v="0"/>
    <x v="1"/>
    <s v="2025-02-04"/>
    <x v="1"/>
    <s v="Feb 2025"/>
    <s v="Met"/>
  </r>
  <r>
    <s v="TKT-1095"/>
    <s v="2025-03-30"/>
    <x v="3"/>
    <x v="0"/>
    <x v="1"/>
    <x v="7"/>
    <x v="4"/>
    <x v="1"/>
    <s v="2025-03-31"/>
    <x v="2"/>
    <s v="Mar 2025"/>
    <s v="Breached"/>
  </r>
  <r>
    <s v="TKT-1096"/>
    <s v="2025-02-07"/>
    <x v="3"/>
    <x v="2"/>
    <x v="1"/>
    <x v="0"/>
    <x v="2"/>
    <x v="0"/>
    <s v="2025-02-07"/>
    <x v="1"/>
    <s v="Feb 2025"/>
    <s v="Met"/>
  </r>
  <r>
    <s v="TKT-1097"/>
    <s v="2025-03-12"/>
    <x v="2"/>
    <x v="1"/>
    <x v="1"/>
    <x v="7"/>
    <x v="2"/>
    <x v="0"/>
    <s v="2025-03-12"/>
    <x v="1"/>
    <s v="Mar 2025"/>
    <s v="Met"/>
  </r>
  <r>
    <s v="TKT-1098"/>
    <s v="2025-03-03"/>
    <x v="1"/>
    <x v="2"/>
    <x v="1"/>
    <x v="3"/>
    <x v="4"/>
    <x v="1"/>
    <s v="2025-03-03"/>
    <x v="1"/>
    <s v="Mar 2025"/>
    <s v="Met"/>
  </r>
  <r>
    <s v="TKT-1099"/>
    <s v="2025-02-21"/>
    <x v="1"/>
    <x v="0"/>
    <x v="3"/>
    <x v="3"/>
    <x v="0"/>
    <x v="0"/>
    <m/>
    <x v="0"/>
    <s v="Feb 2025"/>
    <s v="Breached"/>
  </r>
  <r>
    <s v="TKT-1100"/>
    <s v="2025-03-14"/>
    <x v="2"/>
    <x v="0"/>
    <x v="1"/>
    <x v="1"/>
    <x v="1"/>
    <x v="1"/>
    <s v="2025-03-14"/>
    <x v="1"/>
    <s v="Mar 2025"/>
    <s v="Me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67FB02-CDEE-4A58-AEDB-51B2C550F8E8}" name="PivotTable5"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8:B34" firstHeaderRow="1" firstDataRow="1" firstDataCol="1"/>
  <pivotFields count="12">
    <pivotField dataField="1" showAll="0"/>
    <pivotField showAll="0"/>
    <pivotField showAll="0">
      <items count="6">
        <item x="4"/>
        <item x="3"/>
        <item x="1"/>
        <item x="0"/>
        <item x="2"/>
        <item t="default"/>
      </items>
    </pivotField>
    <pivotField showAll="0">
      <items count="4">
        <item x="0"/>
        <item x="1"/>
        <item x="2"/>
        <item t="default"/>
      </items>
    </pivotField>
    <pivotField showAll="0">
      <items count="5">
        <item x="1"/>
        <item x="3"/>
        <item x="2"/>
        <item x="0"/>
        <item t="default"/>
      </items>
    </pivotField>
    <pivotField showAll="0"/>
    <pivotField axis="axisRow" showAll="0" sortType="descending">
      <items count="6">
        <item x="2"/>
        <item x="1"/>
        <item x="3"/>
        <item x="0"/>
        <item x="4"/>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pivotField showAll="0"/>
    <pivotField showAll="0"/>
    <pivotField showAll="0"/>
  </pivotFields>
  <rowFields count="1">
    <field x="6"/>
  </rowFields>
  <rowItems count="6">
    <i>
      <x/>
    </i>
    <i>
      <x v="1"/>
    </i>
    <i>
      <x v="3"/>
    </i>
    <i>
      <x v="2"/>
    </i>
    <i>
      <x v="4"/>
    </i>
    <i t="grand">
      <x/>
    </i>
  </rowItems>
  <colItems count="1">
    <i/>
  </colItems>
  <dataFields count="1">
    <dataField name="Count of Ticket ID" fld="0" subtotal="count" baseField="0" baseItem="0"/>
  </dataFields>
  <chartFormats count="1">
    <chartFormat chart="7"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1378F1-6E79-4E0A-A40B-098CEED8FA34}" name="PivotTable4"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H15:I24" firstHeaderRow="1" firstDataRow="1" firstDataCol="1"/>
  <pivotFields count="12">
    <pivotField dataField="1" showAll="0"/>
    <pivotField showAll="0"/>
    <pivotField showAll="0">
      <items count="6">
        <item x="4"/>
        <item x="3"/>
        <item x="1"/>
        <item x="0"/>
        <item x="2"/>
        <item t="default"/>
      </items>
    </pivotField>
    <pivotField showAll="0">
      <items count="4">
        <item x="0"/>
        <item x="1"/>
        <item x="2"/>
        <item t="default"/>
      </items>
    </pivotField>
    <pivotField showAll="0">
      <items count="5">
        <item x="1"/>
        <item x="3"/>
        <item x="2"/>
        <item x="0"/>
        <item t="default"/>
      </items>
    </pivotField>
    <pivotField axis="axisRow" showAll="0" sortType="descending">
      <items count="9">
        <item x="3"/>
        <item x="7"/>
        <item x="0"/>
        <item x="5"/>
        <item x="6"/>
        <item x="4"/>
        <item x="1"/>
        <item x="2"/>
        <item t="default"/>
      </items>
      <autoSortScope>
        <pivotArea dataOnly="0" outline="0" fieldPosition="0">
          <references count="1">
            <reference field="4294967294" count="1" selected="0">
              <x v="0"/>
            </reference>
          </references>
        </pivotArea>
      </autoSortScope>
    </pivotField>
    <pivotField showAll="0"/>
    <pivotField showAll="0">
      <items count="3">
        <item x="1"/>
        <item x="0"/>
        <item t="default"/>
      </items>
    </pivotField>
    <pivotField showAll="0"/>
    <pivotField showAll="0"/>
    <pivotField showAll="0"/>
    <pivotField showAll="0"/>
  </pivotFields>
  <rowFields count="1">
    <field x="5"/>
  </rowFields>
  <rowItems count="9">
    <i>
      <x v="1"/>
    </i>
    <i>
      <x v="7"/>
    </i>
    <i>
      <x v="6"/>
    </i>
    <i>
      <x v="3"/>
    </i>
    <i>
      <x v="5"/>
    </i>
    <i>
      <x v="4"/>
    </i>
    <i>
      <x v="2"/>
    </i>
    <i>
      <x/>
    </i>
    <i t="grand">
      <x/>
    </i>
  </rowItems>
  <colItems count="1">
    <i/>
  </colItems>
  <dataFields count="1">
    <dataField name="Count of Ticket ID" fld="0" subtotal="count" baseField="0" baseItem="0"/>
  </dataFields>
  <chartFormats count="3">
    <chartFormat chart="4"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36A063-6020-4B05-AD6D-8E5E79A9F6DE}" name="PivotTable3"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5:E22" firstHeaderRow="1" firstDataRow="2" firstDataCol="1"/>
  <pivotFields count="12">
    <pivotField dataField="1" showAll="0"/>
    <pivotField showAll="0"/>
    <pivotField axis="axisRow" showAll="0">
      <items count="6">
        <item x="4"/>
        <item x="3"/>
        <item x="1"/>
        <item x="0"/>
        <item x="2"/>
        <item t="default"/>
      </items>
    </pivotField>
    <pivotField axis="axisCol" showAll="0">
      <items count="4">
        <item x="0"/>
        <item x="1"/>
        <item x="2"/>
        <item t="default"/>
      </items>
    </pivotField>
    <pivotField showAll="0">
      <items count="5">
        <item x="1"/>
        <item x="3"/>
        <item x="2"/>
        <item x="0"/>
        <item t="default"/>
      </items>
    </pivotField>
    <pivotField showAll="0"/>
    <pivotField showAll="0"/>
    <pivotField showAll="0">
      <items count="3">
        <item x="1"/>
        <item x="0"/>
        <item t="default"/>
      </items>
    </pivotField>
    <pivotField showAll="0"/>
    <pivotField showAll="0"/>
    <pivotField showAll="0"/>
    <pivotField showAll="0"/>
  </pivotFields>
  <rowFields count="1">
    <field x="2"/>
  </rowFields>
  <rowItems count="6">
    <i>
      <x/>
    </i>
    <i>
      <x v="1"/>
    </i>
    <i>
      <x v="2"/>
    </i>
    <i>
      <x v="3"/>
    </i>
    <i>
      <x v="4"/>
    </i>
    <i t="grand">
      <x/>
    </i>
  </rowItems>
  <colFields count="1">
    <field x="3"/>
  </colFields>
  <colItems count="4">
    <i>
      <x/>
    </i>
    <i>
      <x v="1"/>
    </i>
    <i>
      <x v="2"/>
    </i>
    <i t="grand">
      <x/>
    </i>
  </colItems>
  <dataFields count="1">
    <dataField name="Count of Ticket ID" fld="0" subtotal="count" baseField="0" baseItem="0"/>
  </dataFields>
  <chartFormats count="14">
    <chartFormat chart="6" format="13" series="1">
      <pivotArea type="data" outline="0" fieldPosition="0">
        <references count="2">
          <reference field="4294967294" count="1" selected="0">
            <x v="0"/>
          </reference>
          <reference field="3" count="1" selected="0">
            <x v="0"/>
          </reference>
        </references>
      </pivotArea>
    </chartFormat>
    <chartFormat chart="6" format="14">
      <pivotArea type="data" outline="0" fieldPosition="0">
        <references count="3">
          <reference field="4294967294" count="1" selected="0">
            <x v="0"/>
          </reference>
          <reference field="2" count="1" selected="0">
            <x v="0"/>
          </reference>
          <reference field="3" count="1" selected="0">
            <x v="0"/>
          </reference>
        </references>
      </pivotArea>
    </chartFormat>
    <chartFormat chart="6" format="15">
      <pivotArea type="data" outline="0" fieldPosition="0">
        <references count="3">
          <reference field="4294967294" count="1" selected="0">
            <x v="0"/>
          </reference>
          <reference field="2" count="1" selected="0">
            <x v="1"/>
          </reference>
          <reference field="3" count="1" selected="0">
            <x v="0"/>
          </reference>
        </references>
      </pivotArea>
    </chartFormat>
    <chartFormat chart="6" format="16" series="1">
      <pivotArea type="data" outline="0" fieldPosition="0">
        <references count="2">
          <reference field="4294967294" count="1" selected="0">
            <x v="0"/>
          </reference>
          <reference field="3" count="1" selected="0">
            <x v="1"/>
          </reference>
        </references>
      </pivotArea>
    </chartFormat>
    <chartFormat chart="6" format="17">
      <pivotArea type="data" outline="0" fieldPosition="0">
        <references count="3">
          <reference field="4294967294" count="1" selected="0">
            <x v="0"/>
          </reference>
          <reference field="2" count="1" selected="0">
            <x v="0"/>
          </reference>
          <reference field="3" count="1" selected="0">
            <x v="1"/>
          </reference>
        </references>
      </pivotArea>
    </chartFormat>
    <chartFormat chart="6" format="18">
      <pivotArea type="data" outline="0" fieldPosition="0">
        <references count="3">
          <reference field="4294967294" count="1" selected="0">
            <x v="0"/>
          </reference>
          <reference field="2" count="1" selected="0">
            <x v="1"/>
          </reference>
          <reference field="3" count="1" selected="0">
            <x v="1"/>
          </reference>
        </references>
      </pivotArea>
    </chartFormat>
    <chartFormat chart="6" format="19">
      <pivotArea type="data" outline="0" fieldPosition="0">
        <references count="3">
          <reference field="4294967294" count="1" selected="0">
            <x v="0"/>
          </reference>
          <reference field="2" count="1" selected="0">
            <x v="2"/>
          </reference>
          <reference field="3" count="1" selected="0">
            <x v="1"/>
          </reference>
        </references>
      </pivotArea>
    </chartFormat>
    <chartFormat chart="6" format="20">
      <pivotArea type="data" outline="0" fieldPosition="0">
        <references count="3">
          <reference field="4294967294" count="1" selected="0">
            <x v="0"/>
          </reference>
          <reference field="2" count="1" selected="0">
            <x v="4"/>
          </reference>
          <reference field="3" count="1" selected="0">
            <x v="1"/>
          </reference>
        </references>
      </pivotArea>
    </chartFormat>
    <chartFormat chart="6" format="21" series="1">
      <pivotArea type="data" outline="0" fieldPosition="0">
        <references count="2">
          <reference field="4294967294" count="1" selected="0">
            <x v="0"/>
          </reference>
          <reference field="3" count="1" selected="0">
            <x v="2"/>
          </reference>
        </references>
      </pivotArea>
    </chartFormat>
    <chartFormat chart="6" format="22">
      <pivotArea type="data" outline="0" fieldPosition="0">
        <references count="3">
          <reference field="4294967294" count="1" selected="0">
            <x v="0"/>
          </reference>
          <reference field="2" count="1" selected="0">
            <x v="0"/>
          </reference>
          <reference field="3" count="1" selected="0">
            <x v="2"/>
          </reference>
        </references>
      </pivotArea>
    </chartFormat>
    <chartFormat chart="6" format="23">
      <pivotArea type="data" outline="0" fieldPosition="0">
        <references count="3">
          <reference field="4294967294" count="1" selected="0">
            <x v="0"/>
          </reference>
          <reference field="2" count="1" selected="0">
            <x v="1"/>
          </reference>
          <reference field="3" count="1" selected="0">
            <x v="2"/>
          </reference>
        </references>
      </pivotArea>
    </chartFormat>
    <chartFormat chart="6" format="24">
      <pivotArea type="data" outline="0" fieldPosition="0">
        <references count="3">
          <reference field="4294967294" count="1" selected="0">
            <x v="0"/>
          </reference>
          <reference field="2" count="1" selected="0">
            <x v="3"/>
          </reference>
          <reference field="3" count="1" selected="0">
            <x v="2"/>
          </reference>
        </references>
      </pivotArea>
    </chartFormat>
    <chartFormat chart="6" format="25">
      <pivotArea type="data" outline="0" fieldPosition="0">
        <references count="3">
          <reference field="4294967294" count="1" selected="0">
            <x v="0"/>
          </reference>
          <reference field="2" count="1" selected="0">
            <x v="4"/>
          </reference>
          <reference field="3" count="1" selected="0">
            <x v="2"/>
          </reference>
        </references>
      </pivotArea>
    </chartFormat>
    <chartFormat chart="6" format="2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0C87BFA-F631-4BEA-9EAA-DCD1573D5305}" name="PivotTable2"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I8" firstHeaderRow="1" firstDataRow="2" firstDataCol="1"/>
  <pivotFields count="12">
    <pivotField dataField="1" showAll="0"/>
    <pivotField showAll="0"/>
    <pivotField showAll="0">
      <items count="6">
        <item x="4"/>
        <item x="3"/>
        <item x="1"/>
        <item x="0"/>
        <item x="2"/>
        <item t="default"/>
      </items>
    </pivotField>
    <pivotField showAll="0">
      <items count="4">
        <item x="0"/>
        <item x="1"/>
        <item x="2"/>
        <item t="default"/>
      </items>
    </pivotField>
    <pivotField showAll="0">
      <items count="5">
        <item x="1"/>
        <item x="3"/>
        <item x="2"/>
        <item x="0"/>
        <item t="default"/>
      </items>
    </pivotField>
    <pivotField showAll="0"/>
    <pivotField showAll="0"/>
    <pivotField axis="axisRow" showAll="0">
      <items count="3">
        <item x="1"/>
        <item x="0"/>
        <item t="default"/>
      </items>
    </pivotField>
    <pivotField showAll="0"/>
    <pivotField axis="axisCol" showAll="0">
      <items count="4">
        <item x="2"/>
        <item x="0"/>
        <item x="1"/>
        <item t="default"/>
      </items>
    </pivotField>
    <pivotField showAll="0"/>
    <pivotField showAll="0"/>
  </pivotFields>
  <rowFields count="1">
    <field x="7"/>
  </rowFields>
  <rowItems count="3">
    <i>
      <x/>
    </i>
    <i>
      <x v="1"/>
    </i>
    <i t="grand">
      <x/>
    </i>
  </rowItems>
  <colFields count="1">
    <field x="9"/>
  </colFields>
  <colItems count="4">
    <i>
      <x/>
    </i>
    <i>
      <x v="1"/>
    </i>
    <i>
      <x v="2"/>
    </i>
    <i t="grand">
      <x/>
    </i>
  </colItems>
  <dataFields count="1">
    <dataField name="Count of Ticke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D669188-CDF4-43CA-93E7-A62311E172FD}" name="PivotTable1"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4:B9" firstHeaderRow="1" firstDataRow="1" firstDataCol="1"/>
  <pivotFields count="12">
    <pivotField dataField="1" showAll="0"/>
    <pivotField showAll="0"/>
    <pivotField showAll="0">
      <items count="6">
        <item x="4"/>
        <item x="3"/>
        <item x="1"/>
        <item x="0"/>
        <item x="2"/>
        <item t="default"/>
      </items>
    </pivotField>
    <pivotField showAll="0">
      <items count="4">
        <item x="0"/>
        <item x="1"/>
        <item x="2"/>
        <item t="default"/>
      </items>
    </pivotField>
    <pivotField axis="axisRow" showAll="0">
      <items count="5">
        <item x="1"/>
        <item x="3"/>
        <item x="2"/>
        <item x="0"/>
        <item t="default"/>
      </items>
    </pivotField>
    <pivotField showAll="0"/>
    <pivotField showAll="0"/>
    <pivotField showAll="0">
      <items count="3">
        <item x="1"/>
        <item x="0"/>
        <item t="default"/>
      </items>
    </pivotField>
    <pivotField showAll="0"/>
    <pivotField showAll="0"/>
    <pivotField showAll="0"/>
    <pivotField showAll="0"/>
  </pivotFields>
  <rowFields count="1">
    <field x="4"/>
  </rowFields>
  <rowItems count="5">
    <i>
      <x/>
    </i>
    <i>
      <x v="1"/>
    </i>
    <i>
      <x v="2"/>
    </i>
    <i>
      <x v="3"/>
    </i>
    <i t="grand">
      <x/>
    </i>
  </rowItems>
  <colItems count="1">
    <i/>
  </colItems>
  <dataFields count="1">
    <dataField name="Count of Ticket ID" fld="0" subtotal="count" baseField="0" baseItem="0"/>
  </dataFields>
  <chartFormats count="5">
    <chartFormat chart="5" format="16" series="1">
      <pivotArea type="data" outline="0" fieldPosition="0">
        <references count="1">
          <reference field="4294967294" count="1" selected="0">
            <x v="0"/>
          </reference>
        </references>
      </pivotArea>
    </chartFormat>
    <chartFormat chart="5" format="17">
      <pivotArea type="data" outline="0" fieldPosition="0">
        <references count="2">
          <reference field="4294967294" count="1" selected="0">
            <x v="0"/>
          </reference>
          <reference field="4" count="1" selected="0">
            <x v="0"/>
          </reference>
        </references>
      </pivotArea>
    </chartFormat>
    <chartFormat chart="5" format="18">
      <pivotArea type="data" outline="0" fieldPosition="0">
        <references count="2">
          <reference field="4294967294" count="1" selected="0">
            <x v="0"/>
          </reference>
          <reference field="4" count="1" selected="0">
            <x v="1"/>
          </reference>
        </references>
      </pivotArea>
    </chartFormat>
    <chartFormat chart="5" format="19">
      <pivotArea type="data" outline="0" fieldPosition="0">
        <references count="2">
          <reference field="4294967294" count="1" selected="0">
            <x v="0"/>
          </reference>
          <reference field="4" count="1" selected="0">
            <x v="2"/>
          </reference>
        </references>
      </pivotArea>
    </chartFormat>
    <chartFormat chart="5" format="2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ority" xr10:uid="{4DBC7CC6-4727-4100-917B-FF251C463861}" sourceName="Priority">
  <pivotTables>
    <pivotTable tabId="6" name="PivotTable1"/>
    <pivotTable tabId="6" name="PivotTable2"/>
    <pivotTable tabId="6" name="PivotTable3"/>
    <pivotTable tabId="6" name="PivotTable4"/>
    <pivotTable tabId="6" name="PivotTable5"/>
  </pivotTables>
  <data>
    <tabular pivotCacheId="1929041304">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4E8ED70D-77B2-4586-9165-BEE6087A33AC}" sourceName="Status">
  <pivotTables>
    <pivotTable tabId="6" name="PivotTable1"/>
    <pivotTable tabId="6" name="PivotTable2"/>
    <pivotTable tabId="6" name="PivotTable3"/>
    <pivotTable tabId="6" name="PivotTable4"/>
    <pivotTable tabId="6" name="PivotTable5"/>
  </pivotTables>
  <data>
    <tabular pivotCacheId="1929041304">
      <items count="4">
        <i x="1"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LA_Type" xr10:uid="{EC8B2AFB-9077-4013-A73F-30762106037B}" sourceName="SLA Type">
  <pivotTables>
    <pivotTable tabId="6" name="PivotTable1"/>
    <pivotTable tabId="6" name="PivotTable2"/>
    <pivotTable tabId="6" name="PivotTable3"/>
    <pivotTable tabId="6" name="PivotTable4"/>
    <pivotTable tabId="6" name="PivotTable5"/>
  </pivotTables>
  <data>
    <tabular pivotCacheId="1929041304">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A2940C1-BCB9-45BA-A7E7-D2F06D0459F9}" sourceName="Category">
  <pivotTables>
    <pivotTable tabId="6" name="PivotTable1"/>
    <pivotTable tabId="6" name="PivotTable2"/>
    <pivotTable tabId="6" name="PivotTable3"/>
    <pivotTable tabId="6" name="PivotTable4"/>
    <pivotTable tabId="6" name="PivotTable5"/>
  </pivotTables>
  <data>
    <tabular pivotCacheId="1929041304">
      <items count="5">
        <i x="4" s="1"/>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ority" xr10:uid="{8998A605-7306-4074-9C91-3D7FB28EEFE5}" cache="Slicer_Priority" caption="Priority" columnCount="3" style="SlicerStyleDark1" rowHeight="180000"/>
  <slicer name="Priority 1" xr10:uid="{FAFD727D-3208-4DF4-BA45-550241789373}" cache="Slicer_Priority" caption="Priority" columnCount="3" style="SlicerStyleDark1" rowHeight="180000"/>
  <slicer name="Status" xr10:uid="{8A4D5E44-F2C2-4972-86F2-BBD65F9E48D3}" cache="Slicer_Status" caption="Status" columnCount="4" style="SlicerStyleDark1" rowHeight="180000"/>
  <slicer name="SLA Type" xr10:uid="{758D9803-E143-4B7C-9D60-45685ED22B69}" cache="Slicer_SLA_Type" caption="SLA Type" columnCount="2" style="SlicerStyleDark1" rowHeight="180000"/>
  <slicer name="Category" xr10:uid="{D240646E-4102-47C0-B895-163A1A4C4649}" cache="Slicer_Category" caption="Category" columnCount="5" style="SlicerStyleDark1" rowHeight="18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28B545A-4054-4ECA-B620-E91F451C9560}" name="TicketData" displayName="TicketData" ref="A1:L101" totalsRowShown="0" headerRowDxfId="21" dataDxfId="19" headerRowBorderDxfId="20" tableBorderDxfId="18" totalsRowBorderDxfId="17">
  <autoFilter ref="A1:L101" xr:uid="{628B545A-4054-4ECA-B620-E91F451C9560}"/>
  <tableColumns count="12">
    <tableColumn id="1" xr3:uid="{EBA3C64B-1A7E-46F3-8398-AF4F9014C554}" name="Ticket ID" dataDxfId="16"/>
    <tableColumn id="2" xr3:uid="{49754462-9F61-4111-B5D4-903330E59B35}" name="Date Raised" dataDxfId="15"/>
    <tableColumn id="3" xr3:uid="{FC9DCB04-EC67-412E-B7CA-3788E70373E1}" name="Category" dataDxfId="14"/>
    <tableColumn id="4" xr3:uid="{8BE4D11D-1230-4320-B553-3A5EB0E67B29}" name="Priority"/>
    <tableColumn id="5" xr3:uid="{E498E4F6-28B9-40EA-989D-7C568E97AC9B}" name="Status" dataDxfId="13"/>
    <tableColumn id="6" xr3:uid="{396E70CA-2A39-4BB9-B6C2-0DF09E620170}" name="Reporter" dataDxfId="12"/>
    <tableColumn id="7" xr3:uid="{066DD7AA-CE7F-43DF-88A1-7CC917BAED00}" name="Assigned To" dataDxfId="11"/>
    <tableColumn id="8" xr3:uid="{26D50DDE-A793-4D8D-81AB-B9BFBAD38212}" name="SLA Type" dataDxfId="10"/>
    <tableColumn id="9" xr3:uid="{3945F9C2-AC53-4623-B36D-534A8114B2C1}" name="Resolution Date" dataDxfId="9"/>
    <tableColumn id="10" xr3:uid="{75E2C6B6-E569-414B-9BBE-EEACB57A53E6}" name="SLA Met" dataDxfId="8"/>
    <tableColumn id="11" xr3:uid="{330CFB50-E9B4-4CB2-A0AA-533DF6CC5337}" name="Month" dataDxfId="7">
      <calculatedColumnFormula>TEXT(TicketData[[#This Row],[Date Raised]],"MMM YYYY")</calculatedColumnFormula>
    </tableColumn>
    <tableColumn id="12" xr3:uid="{4BB9F999-F3A7-41AC-9E25-D49DED492DF6}" name="SLA Result" dataDxfId="6">
      <calculatedColumnFormula>IF(TicketData[[#This Row],[SLA Met]]="yes","Met","Breached")</calculatedColumnFormula>
    </tableColumn>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EB1B3-6176-49FE-9000-DB4D6F2798C2}">
  <dimension ref="A1:AI54"/>
  <sheetViews>
    <sheetView showGridLines="0" showRowColHeaders="0" tabSelected="1" zoomScale="79" workbookViewId="0">
      <selection activeCell="S13" sqref="S13"/>
    </sheetView>
  </sheetViews>
  <sheetFormatPr defaultRowHeight="15" x14ac:dyDescent="0.25"/>
  <cols>
    <col min="1" max="1" width="1.7109375" style="22" customWidth="1"/>
    <col min="2" max="19" width="9.28515625" style="22" customWidth="1"/>
    <col min="20" max="20" width="1.7109375" style="22" customWidth="1"/>
    <col min="21" max="16384" width="9.140625" style="22"/>
  </cols>
  <sheetData>
    <row r="1" spans="1:19" ht="0.95" customHeight="1" x14ac:dyDescent="0.3">
      <c r="A1" s="23"/>
    </row>
    <row r="2" spans="1:19" ht="62.1" customHeight="1" x14ac:dyDescent="0.25">
      <c r="B2" s="24" t="s">
        <v>227</v>
      </c>
      <c r="C2" s="24"/>
      <c r="D2" s="24"/>
      <c r="E2" s="24"/>
      <c r="F2" s="24"/>
      <c r="G2" s="24"/>
      <c r="H2" s="33"/>
      <c r="I2" s="34" t="s">
        <v>211</v>
      </c>
      <c r="J2" s="24"/>
      <c r="K2" s="24"/>
      <c r="L2" s="24"/>
      <c r="M2" s="24"/>
      <c r="N2" s="24"/>
      <c r="O2" s="24"/>
      <c r="P2" s="24"/>
      <c r="Q2" s="24"/>
      <c r="R2" s="24"/>
      <c r="S2" s="24"/>
    </row>
    <row r="3" spans="1:19" ht="12" customHeight="1" x14ac:dyDescent="0.25">
      <c r="B3" s="32"/>
      <c r="C3" s="32"/>
      <c r="D3" s="32"/>
      <c r="E3" s="32"/>
      <c r="F3" s="32"/>
      <c r="G3" s="32"/>
      <c r="H3" s="32"/>
      <c r="I3" s="32"/>
      <c r="J3" s="32"/>
      <c r="K3" s="32"/>
      <c r="L3" s="32"/>
      <c r="M3" s="32"/>
      <c r="N3" s="32"/>
      <c r="O3" s="32"/>
      <c r="P3" s="32"/>
      <c r="Q3" s="32"/>
      <c r="R3" s="32"/>
      <c r="S3" s="32"/>
    </row>
    <row r="4" spans="1:19" ht="35.1" customHeight="1" x14ac:dyDescent="0.25"/>
    <row r="5" spans="1:19" ht="35.1" customHeight="1" x14ac:dyDescent="0.25"/>
    <row r="6" spans="1:19" ht="12" customHeight="1" x14ac:dyDescent="0.25"/>
    <row r="7" spans="1:19" ht="8.1" customHeight="1" x14ac:dyDescent="0.25"/>
    <row r="8" spans="1:19" ht="20.100000000000001" customHeight="1" x14ac:dyDescent="0.25"/>
    <row r="9" spans="1:19" ht="20.100000000000001" customHeight="1" x14ac:dyDescent="0.25"/>
    <row r="10" spans="1:19" ht="20.100000000000001" customHeight="1" x14ac:dyDescent="0.25"/>
    <row r="11" spans="1:19" ht="12" customHeight="1" x14ac:dyDescent="0.25"/>
    <row r="12" spans="1:19" ht="14.1" customHeight="1" x14ac:dyDescent="0.25"/>
    <row r="13" spans="1:19" ht="14.1" customHeight="1" x14ac:dyDescent="0.25"/>
    <row r="14" spans="1:19" ht="14.1" customHeight="1" x14ac:dyDescent="0.25"/>
    <row r="15" spans="1:19" ht="14.1" customHeight="1" x14ac:dyDescent="0.25"/>
    <row r="16" spans="1:19" ht="14.1" customHeight="1" x14ac:dyDescent="0.25"/>
    <row r="17" ht="14.1" customHeight="1" x14ac:dyDescent="0.25"/>
    <row r="18" ht="14.1" customHeight="1" x14ac:dyDescent="0.25"/>
    <row r="19" ht="14.1" customHeight="1" x14ac:dyDescent="0.25"/>
    <row r="20" ht="14.1" customHeight="1" x14ac:dyDescent="0.25"/>
    <row r="21" ht="14.1" customHeight="1" x14ac:dyDescent="0.25"/>
    <row r="22" ht="14.1" customHeight="1" x14ac:dyDescent="0.25"/>
    <row r="23" ht="14.1" customHeight="1" x14ac:dyDescent="0.25"/>
    <row r="24" ht="14.1" customHeight="1" x14ac:dyDescent="0.25"/>
    <row r="25" ht="14.1" customHeight="1" x14ac:dyDescent="0.25"/>
    <row r="26" ht="14.1" customHeight="1" x14ac:dyDescent="0.25"/>
    <row r="27" ht="12" customHeight="1" x14ac:dyDescent="0.25"/>
    <row r="28" ht="14.1" customHeight="1" x14ac:dyDescent="0.25"/>
    <row r="29" ht="14.1" customHeight="1" x14ac:dyDescent="0.25"/>
    <row r="30" ht="14.1" customHeight="1" x14ac:dyDescent="0.25"/>
    <row r="31" ht="14.1" customHeight="1" x14ac:dyDescent="0.25"/>
    <row r="32" ht="14.1" customHeight="1" x14ac:dyDescent="0.25"/>
    <row r="33" ht="14.1" customHeight="1" x14ac:dyDescent="0.25"/>
    <row r="34" ht="14.1" customHeight="1" x14ac:dyDescent="0.25"/>
    <row r="35" ht="14.1" customHeight="1" x14ac:dyDescent="0.25"/>
    <row r="36" ht="14.1" customHeight="1" x14ac:dyDescent="0.25"/>
    <row r="37" ht="14.1" customHeight="1" x14ac:dyDescent="0.25"/>
    <row r="38" ht="14.1" customHeight="1" x14ac:dyDescent="0.25"/>
    <row r="39" ht="14.1" customHeight="1" x14ac:dyDescent="0.25"/>
    <row r="40" ht="14.1" customHeight="1" x14ac:dyDescent="0.25"/>
    <row r="41" ht="14.1" customHeight="1" x14ac:dyDescent="0.25"/>
    <row r="42" ht="14.1" customHeight="1" x14ac:dyDescent="0.25"/>
    <row r="43" ht="12" customHeight="1" x14ac:dyDescent="0.25"/>
    <row r="44" ht="20.100000000000001" customHeight="1" x14ac:dyDescent="0.25"/>
    <row r="54" spans="18:35" x14ac:dyDescent="0.25">
      <c r="R54" s="25" t="s">
        <v>211</v>
      </c>
      <c r="S54" s="26"/>
      <c r="T54" s="26"/>
      <c r="U54" s="26"/>
      <c r="V54" s="26"/>
      <c r="W54" s="26"/>
      <c r="X54" s="26"/>
      <c r="Y54" s="26"/>
      <c r="Z54" s="26"/>
      <c r="AA54" s="26"/>
      <c r="AB54" s="26"/>
      <c r="AC54" s="26"/>
      <c r="AD54" s="26"/>
      <c r="AE54" s="26"/>
      <c r="AF54" s="26"/>
      <c r="AG54" s="26"/>
      <c r="AH54" s="26"/>
      <c r="AI54" s="26"/>
    </row>
  </sheetData>
  <mergeCells count="3">
    <mergeCell ref="R54:AI54"/>
    <mergeCell ref="B2:G2"/>
    <mergeCell ref="I2:S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1"/>
  <sheetViews>
    <sheetView zoomScaleNormal="100" workbookViewId="0">
      <pane ySplit="1" topLeftCell="A2" activePane="bottomLeft" state="frozen"/>
      <selection pane="bottomLeft" activeCell="L3" sqref="L3"/>
    </sheetView>
  </sheetViews>
  <sheetFormatPr defaultColWidth="8.7109375" defaultRowHeight="15" x14ac:dyDescent="0.25"/>
  <cols>
    <col min="1" max="1" width="14.5703125" bestFit="1" customWidth="1"/>
    <col min="2" max="2" width="15.42578125" customWidth="1"/>
    <col min="3" max="3" width="20" customWidth="1"/>
    <col min="4" max="4" width="12.85546875" bestFit="1" customWidth="1"/>
    <col min="5" max="5" width="18" customWidth="1"/>
    <col min="6" max="6" width="14.7109375" bestFit="1" customWidth="1"/>
    <col min="7" max="7" width="18.28515625" bestFit="1" customWidth="1"/>
    <col min="8" max="8" width="12.7109375" customWidth="1"/>
    <col min="9" max="9" width="22.140625" bestFit="1" customWidth="1"/>
    <col min="10" max="10" width="14" bestFit="1" customWidth="1"/>
    <col min="11" max="11" width="12" bestFit="1" customWidth="1"/>
    <col min="12" max="12" width="16.7109375" bestFit="1" customWidth="1"/>
  </cols>
  <sheetData>
    <row r="1" spans="1:12" ht="21.75" customHeight="1" x14ac:dyDescent="0.25">
      <c r="A1" s="14" t="s">
        <v>0</v>
      </c>
      <c r="B1" s="15" t="s">
        <v>1</v>
      </c>
      <c r="C1" s="15" t="s">
        <v>2</v>
      </c>
      <c r="D1" s="15" t="s">
        <v>3</v>
      </c>
      <c r="E1" s="15" t="s">
        <v>4</v>
      </c>
      <c r="F1" s="15" t="s">
        <v>5</v>
      </c>
      <c r="G1" s="15" t="s">
        <v>6</v>
      </c>
      <c r="H1" s="15" t="s">
        <v>7</v>
      </c>
      <c r="I1" s="15" t="s">
        <v>8</v>
      </c>
      <c r="J1" s="15" t="s">
        <v>9</v>
      </c>
      <c r="K1" s="30" t="s">
        <v>216</v>
      </c>
      <c r="L1" s="30" t="s">
        <v>217</v>
      </c>
    </row>
    <row r="2" spans="1:12" x14ac:dyDescent="0.25">
      <c r="A2" s="12" t="s">
        <v>10</v>
      </c>
      <c r="B2" s="1" t="s">
        <v>11</v>
      </c>
      <c r="C2" s="1" t="s">
        <v>12</v>
      </c>
      <c r="D2" s="2" t="s">
        <v>13</v>
      </c>
      <c r="E2" s="1" t="s">
        <v>14</v>
      </c>
      <c r="F2" s="1" t="s">
        <v>15</v>
      </c>
      <c r="G2" s="1" t="s">
        <v>16</v>
      </c>
      <c r="H2" s="1" t="s">
        <v>17</v>
      </c>
      <c r="I2" s="1"/>
      <c r="J2" s="3" t="s">
        <v>18</v>
      </c>
      <c r="K2" s="28" t="str">
        <f>TEXT(TicketData[[#This Row],[Date Raised]],"MMM YYYY")</f>
        <v>Mar 2025</v>
      </c>
      <c r="L2" s="28" t="str">
        <f>IF(TicketData[[#This Row],[SLA Met]]="yes","Met","Breached")</f>
        <v>Breached</v>
      </c>
    </row>
    <row r="3" spans="1:12" x14ac:dyDescent="0.25">
      <c r="A3" s="13" t="s">
        <v>19</v>
      </c>
      <c r="B3" s="4" t="s">
        <v>20</v>
      </c>
      <c r="C3" s="4" t="s">
        <v>12</v>
      </c>
      <c r="D3" s="5" t="s">
        <v>21</v>
      </c>
      <c r="E3" s="4" t="s">
        <v>14</v>
      </c>
      <c r="F3" s="4" t="s">
        <v>22</v>
      </c>
      <c r="G3" s="4" t="s">
        <v>23</v>
      </c>
      <c r="H3" s="4" t="s">
        <v>24</v>
      </c>
      <c r="I3" s="4"/>
      <c r="J3" s="3" t="s">
        <v>18</v>
      </c>
      <c r="K3" s="27" t="str">
        <f>TEXT(TicketData[[#This Row],[Date Raised]],"MMM YYYY")</f>
        <v>Jan 2025</v>
      </c>
      <c r="L3" s="27" t="str">
        <f>IF(TicketData[[#This Row],[SLA Met]]="yes","Met","Breached")</f>
        <v>Breached</v>
      </c>
    </row>
    <row r="4" spans="1:12" x14ac:dyDescent="0.25">
      <c r="A4" s="12" t="s">
        <v>25</v>
      </c>
      <c r="B4" s="1" t="s">
        <v>26</v>
      </c>
      <c r="C4" s="1" t="s">
        <v>12</v>
      </c>
      <c r="D4" s="2" t="s">
        <v>13</v>
      </c>
      <c r="E4" s="1" t="s">
        <v>27</v>
      </c>
      <c r="F4" s="1" t="s">
        <v>28</v>
      </c>
      <c r="G4" s="1" t="s">
        <v>23</v>
      </c>
      <c r="H4" s="1" t="s">
        <v>17</v>
      </c>
      <c r="I4" s="1" t="s">
        <v>26</v>
      </c>
      <c r="J4" s="6" t="s">
        <v>29</v>
      </c>
      <c r="K4" s="27" t="str">
        <f>TEXT(TicketData[[#This Row],[Date Raised]],"MMM YYYY")</f>
        <v>Jan 2025</v>
      </c>
      <c r="L4" s="27" t="str">
        <f>IF(TicketData[[#This Row],[SLA Met]]="yes","Met","Breached")</f>
        <v>Met</v>
      </c>
    </row>
    <row r="5" spans="1:12" x14ac:dyDescent="0.25">
      <c r="A5" s="13" t="s">
        <v>30</v>
      </c>
      <c r="B5" s="4" t="s">
        <v>31</v>
      </c>
      <c r="C5" s="4" t="s">
        <v>32</v>
      </c>
      <c r="D5" s="5" t="s">
        <v>21</v>
      </c>
      <c r="E5" s="4" t="s">
        <v>27</v>
      </c>
      <c r="F5" s="4" t="s">
        <v>33</v>
      </c>
      <c r="G5" s="4" t="s">
        <v>16</v>
      </c>
      <c r="H5" s="4" t="s">
        <v>24</v>
      </c>
      <c r="I5" s="4" t="s">
        <v>31</v>
      </c>
      <c r="J5" s="6" t="s">
        <v>29</v>
      </c>
      <c r="K5" s="27" t="str">
        <f>TEXT(TicketData[[#This Row],[Date Raised]],"MMM YYYY")</f>
        <v>Jan 2025</v>
      </c>
      <c r="L5" s="27" t="str">
        <f>IF(TicketData[[#This Row],[SLA Met]]="yes","Met","Breached")</f>
        <v>Met</v>
      </c>
    </row>
    <row r="6" spans="1:12" x14ac:dyDescent="0.25">
      <c r="A6" s="12" t="s">
        <v>34</v>
      </c>
      <c r="B6" s="1" t="s">
        <v>35</v>
      </c>
      <c r="C6" s="1" t="s">
        <v>36</v>
      </c>
      <c r="D6" s="2" t="s">
        <v>13</v>
      </c>
      <c r="E6" s="1" t="s">
        <v>27</v>
      </c>
      <c r="F6" s="1" t="s">
        <v>37</v>
      </c>
      <c r="G6" s="1" t="s">
        <v>38</v>
      </c>
      <c r="H6" s="1" t="s">
        <v>24</v>
      </c>
      <c r="I6" s="1" t="s">
        <v>31</v>
      </c>
      <c r="J6" s="7" t="s">
        <v>39</v>
      </c>
      <c r="K6" s="27" t="str">
        <f>TEXT(TicketData[[#This Row],[Date Raised]],"MMM YYYY")</f>
        <v>Jan 2025</v>
      </c>
      <c r="L6" s="27" t="str">
        <f>IF(TicketData[[#This Row],[SLA Met]]="yes","Met","Breached")</f>
        <v>Breached</v>
      </c>
    </row>
    <row r="7" spans="1:12" x14ac:dyDescent="0.25">
      <c r="A7" s="13" t="s">
        <v>40</v>
      </c>
      <c r="B7" s="4" t="s">
        <v>41</v>
      </c>
      <c r="C7" s="4" t="s">
        <v>12</v>
      </c>
      <c r="D7" s="5" t="s">
        <v>21</v>
      </c>
      <c r="E7" s="4" t="s">
        <v>42</v>
      </c>
      <c r="F7" s="4" t="s">
        <v>22</v>
      </c>
      <c r="G7" s="4" t="s">
        <v>43</v>
      </c>
      <c r="H7" s="4" t="s">
        <v>17</v>
      </c>
      <c r="I7" s="4"/>
      <c r="J7" s="3" t="s">
        <v>18</v>
      </c>
      <c r="K7" s="27" t="str">
        <f>TEXT(TicketData[[#This Row],[Date Raised]],"MMM YYYY")</f>
        <v>Feb 2025</v>
      </c>
      <c r="L7" s="27" t="str">
        <f>IF(TicketData[[#This Row],[SLA Met]]="yes","Met","Breached")</f>
        <v>Breached</v>
      </c>
    </row>
    <row r="8" spans="1:12" x14ac:dyDescent="0.25">
      <c r="A8" s="12" t="s">
        <v>44</v>
      </c>
      <c r="B8" s="1" t="s">
        <v>45</v>
      </c>
      <c r="C8" s="1" t="s">
        <v>36</v>
      </c>
      <c r="D8" s="5" t="s">
        <v>21</v>
      </c>
      <c r="E8" s="1" t="s">
        <v>46</v>
      </c>
      <c r="F8" s="1" t="s">
        <v>47</v>
      </c>
      <c r="G8" s="1" t="s">
        <v>23</v>
      </c>
      <c r="H8" s="1" t="s">
        <v>17</v>
      </c>
      <c r="I8" s="1"/>
      <c r="J8" s="3" t="s">
        <v>18</v>
      </c>
      <c r="K8" s="27" t="str">
        <f>TEXT(TicketData[[#This Row],[Date Raised]],"MMM YYYY")</f>
        <v>Mar 2025</v>
      </c>
      <c r="L8" s="27" t="str">
        <f>IF(TicketData[[#This Row],[SLA Met]]="yes","Met","Breached")</f>
        <v>Breached</v>
      </c>
    </row>
    <row r="9" spans="1:12" x14ac:dyDescent="0.25">
      <c r="A9" s="13" t="s">
        <v>48</v>
      </c>
      <c r="B9" s="4" t="s">
        <v>49</v>
      </c>
      <c r="C9" s="4" t="s">
        <v>12</v>
      </c>
      <c r="D9" s="5" t="s">
        <v>21</v>
      </c>
      <c r="E9" s="4" t="s">
        <v>27</v>
      </c>
      <c r="F9" s="4" t="s">
        <v>15</v>
      </c>
      <c r="G9" s="4" t="s">
        <v>38</v>
      </c>
      <c r="H9" s="4" t="s">
        <v>17</v>
      </c>
      <c r="I9" s="4" t="s">
        <v>49</v>
      </c>
      <c r="J9" s="7" t="s">
        <v>39</v>
      </c>
      <c r="K9" s="27" t="str">
        <f>TEXT(TicketData[[#This Row],[Date Raised]],"MMM YYYY")</f>
        <v>Jan 2025</v>
      </c>
      <c r="L9" s="27" t="str">
        <f>IF(TicketData[[#This Row],[SLA Met]]="yes","Met","Breached")</f>
        <v>Breached</v>
      </c>
    </row>
    <row r="10" spans="1:12" x14ac:dyDescent="0.25">
      <c r="A10" s="12" t="s">
        <v>50</v>
      </c>
      <c r="B10" s="1" t="s">
        <v>51</v>
      </c>
      <c r="C10" s="1" t="s">
        <v>32</v>
      </c>
      <c r="D10" s="5" t="s">
        <v>21</v>
      </c>
      <c r="E10" s="1" t="s">
        <v>27</v>
      </c>
      <c r="F10" s="1" t="s">
        <v>52</v>
      </c>
      <c r="G10" s="1" t="s">
        <v>53</v>
      </c>
      <c r="H10" s="1" t="s">
        <v>24</v>
      </c>
      <c r="I10" s="1" t="s">
        <v>51</v>
      </c>
      <c r="J10" s="6" t="s">
        <v>29</v>
      </c>
      <c r="K10" s="27" t="str">
        <f>TEXT(TicketData[[#This Row],[Date Raised]],"MMM YYYY")</f>
        <v>Feb 2025</v>
      </c>
      <c r="L10" s="27" t="str">
        <f>IF(TicketData[[#This Row],[SLA Met]]="yes","Met","Breached")</f>
        <v>Met</v>
      </c>
    </row>
    <row r="11" spans="1:12" x14ac:dyDescent="0.25">
      <c r="A11" s="13" t="s">
        <v>54</v>
      </c>
      <c r="B11" s="4" t="s">
        <v>55</v>
      </c>
      <c r="C11" s="4" t="s">
        <v>12</v>
      </c>
      <c r="D11" s="5" t="s">
        <v>21</v>
      </c>
      <c r="E11" s="4" t="s">
        <v>14</v>
      </c>
      <c r="F11" s="4" t="s">
        <v>52</v>
      </c>
      <c r="G11" s="4" t="s">
        <v>23</v>
      </c>
      <c r="H11" s="4" t="s">
        <v>17</v>
      </c>
      <c r="I11" s="4"/>
      <c r="J11" s="3" t="s">
        <v>18</v>
      </c>
      <c r="K11" s="27" t="str">
        <f>TEXT(TicketData[[#This Row],[Date Raised]],"MMM YYYY")</f>
        <v>Mar 2025</v>
      </c>
      <c r="L11" s="27" t="str">
        <f>IF(TicketData[[#This Row],[SLA Met]]="yes","Met","Breached")</f>
        <v>Breached</v>
      </c>
    </row>
    <row r="12" spans="1:12" x14ac:dyDescent="0.25">
      <c r="A12" s="12" t="s">
        <v>56</v>
      </c>
      <c r="B12" s="1" t="s">
        <v>57</v>
      </c>
      <c r="C12" s="1" t="s">
        <v>32</v>
      </c>
      <c r="D12" s="8" t="s">
        <v>58</v>
      </c>
      <c r="E12" s="1" t="s">
        <v>27</v>
      </c>
      <c r="F12" s="1" t="s">
        <v>28</v>
      </c>
      <c r="G12" s="1" t="s">
        <v>53</v>
      </c>
      <c r="H12" s="1" t="s">
        <v>17</v>
      </c>
      <c r="I12" s="1" t="s">
        <v>57</v>
      </c>
      <c r="J12" s="6" t="s">
        <v>29</v>
      </c>
      <c r="K12" s="27" t="str">
        <f>TEXT(TicketData[[#This Row],[Date Raised]],"MMM YYYY")</f>
        <v>Jan 2025</v>
      </c>
      <c r="L12" s="27" t="str">
        <f>IF(TicketData[[#This Row],[SLA Met]]="yes","Met","Breached")</f>
        <v>Met</v>
      </c>
    </row>
    <row r="13" spans="1:12" x14ac:dyDescent="0.25">
      <c r="A13" s="13" t="s">
        <v>59</v>
      </c>
      <c r="B13" s="4" t="s">
        <v>60</v>
      </c>
      <c r="C13" s="4" t="s">
        <v>32</v>
      </c>
      <c r="D13" s="8" t="s">
        <v>58</v>
      </c>
      <c r="E13" s="4" t="s">
        <v>27</v>
      </c>
      <c r="F13" s="4" t="s">
        <v>28</v>
      </c>
      <c r="G13" s="4" t="s">
        <v>23</v>
      </c>
      <c r="H13" s="4" t="s">
        <v>24</v>
      </c>
      <c r="I13" s="4" t="s">
        <v>60</v>
      </c>
      <c r="J13" s="6" t="s">
        <v>29</v>
      </c>
      <c r="K13" s="27" t="str">
        <f>TEXT(TicketData[[#This Row],[Date Raised]],"MMM YYYY")</f>
        <v>Feb 2025</v>
      </c>
      <c r="L13" s="27" t="str">
        <f>IF(TicketData[[#This Row],[SLA Met]]="yes","Met","Breached")</f>
        <v>Met</v>
      </c>
    </row>
    <row r="14" spans="1:12" x14ac:dyDescent="0.25">
      <c r="A14" s="12" t="s">
        <v>61</v>
      </c>
      <c r="B14" s="1" t="s">
        <v>62</v>
      </c>
      <c r="C14" s="1" t="s">
        <v>32</v>
      </c>
      <c r="D14" s="2" t="s">
        <v>13</v>
      </c>
      <c r="E14" s="1" t="s">
        <v>27</v>
      </c>
      <c r="F14" s="1" t="s">
        <v>52</v>
      </c>
      <c r="G14" s="1" t="s">
        <v>16</v>
      </c>
      <c r="H14" s="1" t="s">
        <v>24</v>
      </c>
      <c r="I14" s="1" t="s">
        <v>62</v>
      </c>
      <c r="J14" s="6" t="s">
        <v>29</v>
      </c>
      <c r="K14" s="27" t="str">
        <f>TEXT(TicketData[[#This Row],[Date Raised]],"MMM YYYY")</f>
        <v>Feb 2025</v>
      </c>
      <c r="L14" s="27" t="str">
        <f>IF(TicketData[[#This Row],[SLA Met]]="yes","Met","Breached")</f>
        <v>Met</v>
      </c>
    </row>
    <row r="15" spans="1:12" x14ac:dyDescent="0.25">
      <c r="A15" s="13" t="s">
        <v>63</v>
      </c>
      <c r="B15" s="4" t="s">
        <v>64</v>
      </c>
      <c r="C15" s="4" t="s">
        <v>32</v>
      </c>
      <c r="D15" s="8" t="s">
        <v>58</v>
      </c>
      <c r="E15" s="4" t="s">
        <v>27</v>
      </c>
      <c r="F15" s="4" t="s">
        <v>52</v>
      </c>
      <c r="G15" s="4" t="s">
        <v>23</v>
      </c>
      <c r="H15" s="4" t="s">
        <v>24</v>
      </c>
      <c r="I15" s="4" t="s">
        <v>64</v>
      </c>
      <c r="J15" s="6" t="s">
        <v>29</v>
      </c>
      <c r="K15" s="27" t="str">
        <f>TEXT(TicketData[[#This Row],[Date Raised]],"MMM YYYY")</f>
        <v>Mar 2025</v>
      </c>
      <c r="L15" s="27" t="str">
        <f>IF(TicketData[[#This Row],[SLA Met]]="yes","Met","Breached")</f>
        <v>Met</v>
      </c>
    </row>
    <row r="16" spans="1:12" x14ac:dyDescent="0.25">
      <c r="A16" s="12" t="s">
        <v>65</v>
      </c>
      <c r="B16" s="1" t="s">
        <v>66</v>
      </c>
      <c r="C16" s="1" t="s">
        <v>67</v>
      </c>
      <c r="D16" s="5" t="s">
        <v>21</v>
      </c>
      <c r="E16" s="1" t="s">
        <v>27</v>
      </c>
      <c r="F16" s="1" t="s">
        <v>37</v>
      </c>
      <c r="G16" s="1" t="s">
        <v>23</v>
      </c>
      <c r="H16" s="1" t="s">
        <v>17</v>
      </c>
      <c r="I16" s="1" t="s">
        <v>66</v>
      </c>
      <c r="J16" s="6" t="s">
        <v>29</v>
      </c>
      <c r="K16" s="27" t="str">
        <f>TEXT(TicketData[[#This Row],[Date Raised]],"MMM YYYY")</f>
        <v>Jan 2025</v>
      </c>
      <c r="L16" s="27" t="str">
        <f>IF(TicketData[[#This Row],[SLA Met]]="yes","Met","Breached")</f>
        <v>Met</v>
      </c>
    </row>
    <row r="17" spans="1:12" x14ac:dyDescent="0.25">
      <c r="A17" s="13" t="s">
        <v>68</v>
      </c>
      <c r="B17" s="4" t="s">
        <v>69</v>
      </c>
      <c r="C17" s="4" t="s">
        <v>36</v>
      </c>
      <c r="D17" s="5" t="s">
        <v>21</v>
      </c>
      <c r="E17" s="4" t="s">
        <v>27</v>
      </c>
      <c r="F17" s="4" t="s">
        <v>22</v>
      </c>
      <c r="G17" s="4" t="s">
        <v>23</v>
      </c>
      <c r="H17" s="4" t="s">
        <v>24</v>
      </c>
      <c r="I17" s="4" t="s">
        <v>69</v>
      </c>
      <c r="J17" s="6" t="s">
        <v>29</v>
      </c>
      <c r="K17" s="27" t="str">
        <f>TEXT(TicketData[[#This Row],[Date Raised]],"MMM YYYY")</f>
        <v>Mar 2025</v>
      </c>
      <c r="L17" s="27" t="str">
        <f>IF(TicketData[[#This Row],[SLA Met]]="yes","Met","Breached")</f>
        <v>Met</v>
      </c>
    </row>
    <row r="18" spans="1:12" x14ac:dyDescent="0.25">
      <c r="A18" s="12" t="s">
        <v>70</v>
      </c>
      <c r="B18" s="1" t="s">
        <v>66</v>
      </c>
      <c r="C18" s="1" t="s">
        <v>36</v>
      </c>
      <c r="D18" s="8" t="s">
        <v>58</v>
      </c>
      <c r="E18" s="1" t="s">
        <v>27</v>
      </c>
      <c r="F18" s="1" t="s">
        <v>71</v>
      </c>
      <c r="G18" s="1" t="s">
        <v>38</v>
      </c>
      <c r="H18" s="1" t="s">
        <v>24</v>
      </c>
      <c r="I18" s="1" t="s">
        <v>72</v>
      </c>
      <c r="J18" s="7" t="s">
        <v>39</v>
      </c>
      <c r="K18" s="27" t="str">
        <f>TEXT(TicketData[[#This Row],[Date Raised]],"MMM YYYY")</f>
        <v>Jan 2025</v>
      </c>
      <c r="L18" s="27" t="str">
        <f>IF(TicketData[[#This Row],[SLA Met]]="yes","Met","Breached")</f>
        <v>Breached</v>
      </c>
    </row>
    <row r="19" spans="1:12" x14ac:dyDescent="0.25">
      <c r="A19" s="13" t="s">
        <v>73</v>
      </c>
      <c r="B19" s="4" t="s">
        <v>74</v>
      </c>
      <c r="C19" s="4" t="s">
        <v>12</v>
      </c>
      <c r="D19" s="5" t="s">
        <v>21</v>
      </c>
      <c r="E19" s="4" t="s">
        <v>27</v>
      </c>
      <c r="F19" s="4" t="s">
        <v>28</v>
      </c>
      <c r="G19" s="4" t="s">
        <v>16</v>
      </c>
      <c r="H19" s="4" t="s">
        <v>24</v>
      </c>
      <c r="I19" s="4" t="s">
        <v>74</v>
      </c>
      <c r="J19" s="6" t="s">
        <v>29</v>
      </c>
      <c r="K19" s="27" t="str">
        <f>TEXT(TicketData[[#This Row],[Date Raised]],"MMM YYYY")</f>
        <v>Mar 2025</v>
      </c>
      <c r="L19" s="27" t="str">
        <f>IF(TicketData[[#This Row],[SLA Met]]="yes","Met","Breached")</f>
        <v>Met</v>
      </c>
    </row>
    <row r="20" spans="1:12" x14ac:dyDescent="0.25">
      <c r="A20" s="12" t="s">
        <v>75</v>
      </c>
      <c r="B20" s="1" t="s">
        <v>69</v>
      </c>
      <c r="C20" s="1" t="s">
        <v>12</v>
      </c>
      <c r="D20" s="5" t="s">
        <v>21</v>
      </c>
      <c r="E20" s="1" t="s">
        <v>27</v>
      </c>
      <c r="F20" s="1" t="s">
        <v>71</v>
      </c>
      <c r="G20" s="1" t="s">
        <v>38</v>
      </c>
      <c r="H20" s="1" t="s">
        <v>17</v>
      </c>
      <c r="I20" s="1" t="s">
        <v>69</v>
      </c>
      <c r="J20" s="7" t="s">
        <v>39</v>
      </c>
      <c r="K20" s="27" t="str">
        <f>TEXT(TicketData[[#This Row],[Date Raised]],"MMM YYYY")</f>
        <v>Mar 2025</v>
      </c>
      <c r="L20" s="27" t="str">
        <f>IF(TicketData[[#This Row],[SLA Met]]="yes","Met","Breached")</f>
        <v>Breached</v>
      </c>
    </row>
    <row r="21" spans="1:12" x14ac:dyDescent="0.25">
      <c r="A21" s="13" t="s">
        <v>76</v>
      </c>
      <c r="B21" s="4" t="s">
        <v>77</v>
      </c>
      <c r="C21" s="4" t="s">
        <v>12</v>
      </c>
      <c r="D21" s="2" t="s">
        <v>13</v>
      </c>
      <c r="E21" s="4" t="s">
        <v>46</v>
      </c>
      <c r="F21" s="4" t="s">
        <v>22</v>
      </c>
      <c r="G21" s="4" t="s">
        <v>38</v>
      </c>
      <c r="H21" s="4" t="s">
        <v>24</v>
      </c>
      <c r="I21" s="4"/>
      <c r="J21" s="3" t="s">
        <v>18</v>
      </c>
      <c r="K21" s="27" t="str">
        <f>TEXT(TicketData[[#This Row],[Date Raised]],"MMM YYYY")</f>
        <v>Jan 2025</v>
      </c>
      <c r="L21" s="27" t="str">
        <f>IF(TicketData[[#This Row],[SLA Met]]="yes","Met","Breached")</f>
        <v>Breached</v>
      </c>
    </row>
    <row r="22" spans="1:12" x14ac:dyDescent="0.25">
      <c r="A22" s="12" t="s">
        <v>78</v>
      </c>
      <c r="B22" s="1" t="s">
        <v>49</v>
      </c>
      <c r="C22" s="1" t="s">
        <v>79</v>
      </c>
      <c r="D22" s="2" t="s">
        <v>13</v>
      </c>
      <c r="E22" s="1" t="s">
        <v>27</v>
      </c>
      <c r="F22" s="1" t="s">
        <v>71</v>
      </c>
      <c r="G22" s="1" t="s">
        <v>23</v>
      </c>
      <c r="H22" s="1" t="s">
        <v>17</v>
      </c>
      <c r="I22" s="1" t="s">
        <v>49</v>
      </c>
      <c r="J22" s="6" t="s">
        <v>29</v>
      </c>
      <c r="K22" s="27" t="str">
        <f>TEXT(TicketData[[#This Row],[Date Raised]],"MMM YYYY")</f>
        <v>Jan 2025</v>
      </c>
      <c r="L22" s="27" t="str">
        <f>IF(TicketData[[#This Row],[SLA Met]]="yes","Met","Breached")</f>
        <v>Met</v>
      </c>
    </row>
    <row r="23" spans="1:12" x14ac:dyDescent="0.25">
      <c r="A23" s="13" t="s">
        <v>80</v>
      </c>
      <c r="B23" s="4" t="s">
        <v>35</v>
      </c>
      <c r="C23" s="4" t="s">
        <v>79</v>
      </c>
      <c r="D23" s="5" t="s">
        <v>21</v>
      </c>
      <c r="E23" s="4" t="s">
        <v>14</v>
      </c>
      <c r="F23" s="4" t="s">
        <v>28</v>
      </c>
      <c r="G23" s="4" t="s">
        <v>53</v>
      </c>
      <c r="H23" s="4" t="s">
        <v>24</v>
      </c>
      <c r="I23" s="4"/>
      <c r="J23" s="3" t="s">
        <v>18</v>
      </c>
      <c r="K23" s="27" t="str">
        <f>TEXT(TicketData[[#This Row],[Date Raised]],"MMM YYYY")</f>
        <v>Jan 2025</v>
      </c>
      <c r="L23" s="27" t="str">
        <f>IF(TicketData[[#This Row],[SLA Met]]="yes","Met","Breached")</f>
        <v>Breached</v>
      </c>
    </row>
    <row r="24" spans="1:12" x14ac:dyDescent="0.25">
      <c r="A24" s="12" t="s">
        <v>81</v>
      </c>
      <c r="B24" s="1" t="s">
        <v>82</v>
      </c>
      <c r="C24" s="1" t="s">
        <v>36</v>
      </c>
      <c r="D24" s="8" t="s">
        <v>58</v>
      </c>
      <c r="E24" s="1" t="s">
        <v>46</v>
      </c>
      <c r="F24" s="1" t="s">
        <v>71</v>
      </c>
      <c r="G24" s="1" t="s">
        <v>38</v>
      </c>
      <c r="H24" s="1" t="s">
        <v>17</v>
      </c>
      <c r="I24" s="1"/>
      <c r="J24" s="3" t="s">
        <v>18</v>
      </c>
      <c r="K24" s="27" t="str">
        <f>TEXT(TicketData[[#This Row],[Date Raised]],"MMM YYYY")</f>
        <v>Mar 2025</v>
      </c>
      <c r="L24" s="27" t="str">
        <f>IF(TicketData[[#This Row],[SLA Met]]="yes","Met","Breached")</f>
        <v>Breached</v>
      </c>
    </row>
    <row r="25" spans="1:12" x14ac:dyDescent="0.25">
      <c r="A25" s="13" t="s">
        <v>83</v>
      </c>
      <c r="B25" s="4" t="s">
        <v>31</v>
      </c>
      <c r="C25" s="4" t="s">
        <v>12</v>
      </c>
      <c r="D25" s="8" t="s">
        <v>58</v>
      </c>
      <c r="E25" s="4" t="s">
        <v>27</v>
      </c>
      <c r="F25" s="4" t="s">
        <v>28</v>
      </c>
      <c r="G25" s="4" t="s">
        <v>23</v>
      </c>
      <c r="H25" s="4" t="s">
        <v>17</v>
      </c>
      <c r="I25" s="4" t="s">
        <v>31</v>
      </c>
      <c r="J25" s="6" t="s">
        <v>29</v>
      </c>
      <c r="K25" s="27" t="str">
        <f>TEXT(TicketData[[#This Row],[Date Raised]],"MMM YYYY")</f>
        <v>Jan 2025</v>
      </c>
      <c r="L25" s="27" t="str">
        <f>IF(TicketData[[#This Row],[SLA Met]]="yes","Met","Breached")</f>
        <v>Met</v>
      </c>
    </row>
    <row r="26" spans="1:12" x14ac:dyDescent="0.25">
      <c r="A26" s="12" t="s">
        <v>84</v>
      </c>
      <c r="B26" s="1" t="s">
        <v>85</v>
      </c>
      <c r="C26" s="1" t="s">
        <v>12</v>
      </c>
      <c r="D26" s="2" t="s">
        <v>13</v>
      </c>
      <c r="E26" s="1" t="s">
        <v>27</v>
      </c>
      <c r="F26" s="1" t="s">
        <v>22</v>
      </c>
      <c r="G26" s="1" t="s">
        <v>23</v>
      </c>
      <c r="H26" s="1" t="s">
        <v>17</v>
      </c>
      <c r="I26" s="1" t="s">
        <v>85</v>
      </c>
      <c r="J26" s="6" t="s">
        <v>29</v>
      </c>
      <c r="K26" s="27" t="str">
        <f>TEXT(TicketData[[#This Row],[Date Raised]],"MMM YYYY")</f>
        <v>Jan 2025</v>
      </c>
      <c r="L26" s="27" t="str">
        <f>IF(TicketData[[#This Row],[SLA Met]]="yes","Met","Breached")</f>
        <v>Met</v>
      </c>
    </row>
    <row r="27" spans="1:12" x14ac:dyDescent="0.25">
      <c r="A27" s="13" t="s">
        <v>86</v>
      </c>
      <c r="B27" s="4" t="s">
        <v>35</v>
      </c>
      <c r="C27" s="4" t="s">
        <v>79</v>
      </c>
      <c r="D27" s="2" t="s">
        <v>13</v>
      </c>
      <c r="E27" s="4" t="s">
        <v>14</v>
      </c>
      <c r="F27" s="4" t="s">
        <v>71</v>
      </c>
      <c r="G27" s="4" t="s">
        <v>16</v>
      </c>
      <c r="H27" s="4" t="s">
        <v>24</v>
      </c>
      <c r="I27" s="4"/>
      <c r="J27" s="3" t="s">
        <v>18</v>
      </c>
      <c r="K27" s="27" t="str">
        <f>TEXT(TicketData[[#This Row],[Date Raised]],"MMM YYYY")</f>
        <v>Jan 2025</v>
      </c>
      <c r="L27" s="27" t="str">
        <f>IF(TicketData[[#This Row],[SLA Met]]="yes","Met","Breached")</f>
        <v>Breached</v>
      </c>
    </row>
    <row r="28" spans="1:12" x14ac:dyDescent="0.25">
      <c r="A28" s="12" t="s">
        <v>87</v>
      </c>
      <c r="B28" s="1" t="s">
        <v>88</v>
      </c>
      <c r="C28" s="1" t="s">
        <v>67</v>
      </c>
      <c r="D28" s="2" t="s">
        <v>13</v>
      </c>
      <c r="E28" s="1" t="s">
        <v>27</v>
      </c>
      <c r="F28" s="1" t="s">
        <v>37</v>
      </c>
      <c r="G28" s="1" t="s">
        <v>53</v>
      </c>
      <c r="H28" s="1" t="s">
        <v>24</v>
      </c>
      <c r="I28" s="1" t="s">
        <v>89</v>
      </c>
      <c r="J28" s="6" t="s">
        <v>29</v>
      </c>
      <c r="K28" s="27" t="str">
        <f>TEXT(TicketData[[#This Row],[Date Raised]],"MMM YYYY")</f>
        <v>Feb 2025</v>
      </c>
      <c r="L28" s="27" t="str">
        <f>IF(TicketData[[#This Row],[SLA Met]]="yes","Met","Breached")</f>
        <v>Met</v>
      </c>
    </row>
    <row r="29" spans="1:12" x14ac:dyDescent="0.25">
      <c r="A29" s="13" t="s">
        <v>90</v>
      </c>
      <c r="B29" s="4" t="s">
        <v>91</v>
      </c>
      <c r="C29" s="4" t="s">
        <v>12</v>
      </c>
      <c r="D29" s="2" t="s">
        <v>13</v>
      </c>
      <c r="E29" s="4" t="s">
        <v>42</v>
      </c>
      <c r="F29" s="4" t="s">
        <v>47</v>
      </c>
      <c r="G29" s="4" t="s">
        <v>38</v>
      </c>
      <c r="H29" s="4" t="s">
        <v>17</v>
      </c>
      <c r="I29" s="4"/>
      <c r="J29" s="3" t="s">
        <v>18</v>
      </c>
      <c r="K29" s="27" t="str">
        <f>TEXT(TicketData[[#This Row],[Date Raised]],"MMM YYYY")</f>
        <v>Jan 2025</v>
      </c>
      <c r="L29" s="27" t="str">
        <f>IF(TicketData[[#This Row],[SLA Met]]="yes","Met","Breached")</f>
        <v>Breached</v>
      </c>
    </row>
    <row r="30" spans="1:12" x14ac:dyDescent="0.25">
      <c r="A30" s="12" t="s">
        <v>92</v>
      </c>
      <c r="B30" s="1" t="s">
        <v>93</v>
      </c>
      <c r="C30" s="1" t="s">
        <v>67</v>
      </c>
      <c r="D30" s="5" t="s">
        <v>21</v>
      </c>
      <c r="E30" s="1" t="s">
        <v>42</v>
      </c>
      <c r="F30" s="1" t="s">
        <v>52</v>
      </c>
      <c r="G30" s="1" t="s">
        <v>43</v>
      </c>
      <c r="H30" s="1" t="s">
        <v>17</v>
      </c>
      <c r="I30" s="1"/>
      <c r="J30" s="3" t="s">
        <v>18</v>
      </c>
      <c r="K30" s="27" t="str">
        <f>TEXT(TicketData[[#This Row],[Date Raised]],"MMM YYYY")</f>
        <v>Jan 2025</v>
      </c>
      <c r="L30" s="27" t="str">
        <f>IF(TicketData[[#This Row],[SLA Met]]="yes","Met","Breached")</f>
        <v>Breached</v>
      </c>
    </row>
    <row r="31" spans="1:12" x14ac:dyDescent="0.25">
      <c r="A31" s="13" t="s">
        <v>94</v>
      </c>
      <c r="B31" s="4" t="s">
        <v>51</v>
      </c>
      <c r="C31" s="4" t="s">
        <v>32</v>
      </c>
      <c r="D31" s="2" t="s">
        <v>13</v>
      </c>
      <c r="E31" s="4" t="s">
        <v>27</v>
      </c>
      <c r="F31" s="4" t="s">
        <v>71</v>
      </c>
      <c r="G31" s="4" t="s">
        <v>23</v>
      </c>
      <c r="H31" s="4" t="s">
        <v>17</v>
      </c>
      <c r="I31" s="4" t="s">
        <v>51</v>
      </c>
      <c r="J31" s="6" t="s">
        <v>29</v>
      </c>
      <c r="K31" s="27" t="str">
        <f>TEXT(TicketData[[#This Row],[Date Raised]],"MMM YYYY")</f>
        <v>Feb 2025</v>
      </c>
      <c r="L31" s="27" t="str">
        <f>IF(TicketData[[#This Row],[SLA Met]]="yes","Met","Breached")</f>
        <v>Met</v>
      </c>
    </row>
    <row r="32" spans="1:12" x14ac:dyDescent="0.25">
      <c r="A32" s="12" t="s">
        <v>95</v>
      </c>
      <c r="B32" s="1" t="s">
        <v>96</v>
      </c>
      <c r="C32" s="1" t="s">
        <v>67</v>
      </c>
      <c r="D32" s="2" t="s">
        <v>13</v>
      </c>
      <c r="E32" s="1" t="s">
        <v>42</v>
      </c>
      <c r="F32" s="1" t="s">
        <v>71</v>
      </c>
      <c r="G32" s="1" t="s">
        <v>43</v>
      </c>
      <c r="H32" s="1" t="s">
        <v>17</v>
      </c>
      <c r="I32" s="1"/>
      <c r="J32" s="3" t="s">
        <v>18</v>
      </c>
      <c r="K32" s="27" t="str">
        <f>TEXT(TicketData[[#This Row],[Date Raised]],"MMM YYYY")</f>
        <v>Jan 2025</v>
      </c>
      <c r="L32" s="27" t="str">
        <f>IF(TicketData[[#This Row],[SLA Met]]="yes","Met","Breached")</f>
        <v>Breached</v>
      </c>
    </row>
    <row r="33" spans="1:12" x14ac:dyDescent="0.25">
      <c r="A33" s="13" t="s">
        <v>97</v>
      </c>
      <c r="B33" s="4" t="s">
        <v>98</v>
      </c>
      <c r="C33" s="4" t="s">
        <v>12</v>
      </c>
      <c r="D33" s="2" t="s">
        <v>13</v>
      </c>
      <c r="E33" s="4" t="s">
        <v>42</v>
      </c>
      <c r="F33" s="4" t="s">
        <v>33</v>
      </c>
      <c r="G33" s="4" t="s">
        <v>43</v>
      </c>
      <c r="H33" s="4" t="s">
        <v>24</v>
      </c>
      <c r="I33" s="4"/>
      <c r="J33" s="3" t="s">
        <v>18</v>
      </c>
      <c r="K33" s="27" t="str">
        <f>TEXT(TicketData[[#This Row],[Date Raised]],"MMM YYYY")</f>
        <v>Feb 2025</v>
      </c>
      <c r="L33" s="27" t="str">
        <f>IF(TicketData[[#This Row],[SLA Met]]="yes","Met","Breached")</f>
        <v>Breached</v>
      </c>
    </row>
    <row r="34" spans="1:12" x14ac:dyDescent="0.25">
      <c r="A34" s="12" t="s">
        <v>99</v>
      </c>
      <c r="B34" s="1" t="s">
        <v>100</v>
      </c>
      <c r="C34" s="1" t="s">
        <v>36</v>
      </c>
      <c r="D34" s="8" t="s">
        <v>58</v>
      </c>
      <c r="E34" s="1" t="s">
        <v>14</v>
      </c>
      <c r="F34" s="1" t="s">
        <v>71</v>
      </c>
      <c r="G34" s="1" t="s">
        <v>16</v>
      </c>
      <c r="H34" s="1" t="s">
        <v>17</v>
      </c>
      <c r="I34" s="1"/>
      <c r="J34" s="3" t="s">
        <v>18</v>
      </c>
      <c r="K34" s="27" t="str">
        <f>TEXT(TicketData[[#This Row],[Date Raised]],"MMM YYYY")</f>
        <v>Feb 2025</v>
      </c>
      <c r="L34" s="27" t="str">
        <f>IF(TicketData[[#This Row],[SLA Met]]="yes","Met","Breached")</f>
        <v>Breached</v>
      </c>
    </row>
    <row r="35" spans="1:12" x14ac:dyDescent="0.25">
      <c r="A35" s="13" t="s">
        <v>101</v>
      </c>
      <c r="B35" s="4" t="s">
        <v>102</v>
      </c>
      <c r="C35" s="4" t="s">
        <v>67</v>
      </c>
      <c r="D35" s="2" t="s">
        <v>13</v>
      </c>
      <c r="E35" s="4" t="s">
        <v>46</v>
      </c>
      <c r="F35" s="4" t="s">
        <v>33</v>
      </c>
      <c r="G35" s="4" t="s">
        <v>53</v>
      </c>
      <c r="H35" s="4" t="s">
        <v>17</v>
      </c>
      <c r="I35" s="4"/>
      <c r="J35" s="3" t="s">
        <v>18</v>
      </c>
      <c r="K35" s="27" t="str">
        <f>TEXT(TicketData[[#This Row],[Date Raised]],"MMM YYYY")</f>
        <v>Feb 2025</v>
      </c>
      <c r="L35" s="27" t="str">
        <f>IF(TicketData[[#This Row],[SLA Met]]="yes","Met","Breached")</f>
        <v>Breached</v>
      </c>
    </row>
    <row r="36" spans="1:12" x14ac:dyDescent="0.25">
      <c r="A36" s="12" t="s">
        <v>103</v>
      </c>
      <c r="B36" s="1" t="s">
        <v>91</v>
      </c>
      <c r="C36" s="1" t="s">
        <v>79</v>
      </c>
      <c r="D36" s="8" t="s">
        <v>58</v>
      </c>
      <c r="E36" s="1" t="s">
        <v>46</v>
      </c>
      <c r="F36" s="1" t="s">
        <v>52</v>
      </c>
      <c r="G36" s="1" t="s">
        <v>38</v>
      </c>
      <c r="H36" s="1" t="s">
        <v>17</v>
      </c>
      <c r="I36" s="1"/>
      <c r="J36" s="3" t="s">
        <v>18</v>
      </c>
      <c r="K36" s="27" t="str">
        <f>TEXT(TicketData[[#This Row],[Date Raised]],"MMM YYYY")</f>
        <v>Jan 2025</v>
      </c>
      <c r="L36" s="27" t="str">
        <f>IF(TicketData[[#This Row],[SLA Met]]="yes","Met","Breached")</f>
        <v>Breached</v>
      </c>
    </row>
    <row r="37" spans="1:12" x14ac:dyDescent="0.25">
      <c r="A37" s="13" t="s">
        <v>104</v>
      </c>
      <c r="B37" s="4" t="s">
        <v>105</v>
      </c>
      <c r="C37" s="4" t="s">
        <v>12</v>
      </c>
      <c r="D37" s="5" t="s">
        <v>21</v>
      </c>
      <c r="E37" s="4" t="s">
        <v>27</v>
      </c>
      <c r="F37" s="4" t="s">
        <v>28</v>
      </c>
      <c r="G37" s="4" t="s">
        <v>43</v>
      </c>
      <c r="H37" s="4" t="s">
        <v>17</v>
      </c>
      <c r="I37" s="4" t="s">
        <v>93</v>
      </c>
      <c r="J37" s="7" t="s">
        <v>39</v>
      </c>
      <c r="K37" s="27" t="str">
        <f>TEXT(TicketData[[#This Row],[Date Raised]],"MMM YYYY")</f>
        <v>Jan 2025</v>
      </c>
      <c r="L37" s="27" t="str">
        <f>IF(TicketData[[#This Row],[SLA Met]]="yes","Met","Breached")</f>
        <v>Breached</v>
      </c>
    </row>
    <row r="38" spans="1:12" x14ac:dyDescent="0.25">
      <c r="A38" s="12" t="s">
        <v>106</v>
      </c>
      <c r="B38" s="1" t="s">
        <v>107</v>
      </c>
      <c r="C38" s="1" t="s">
        <v>79</v>
      </c>
      <c r="D38" s="5" t="s">
        <v>21</v>
      </c>
      <c r="E38" s="1" t="s">
        <v>27</v>
      </c>
      <c r="F38" s="1" t="s">
        <v>22</v>
      </c>
      <c r="G38" s="1" t="s">
        <v>43</v>
      </c>
      <c r="H38" s="1" t="s">
        <v>24</v>
      </c>
      <c r="I38" s="1" t="s">
        <v>108</v>
      </c>
      <c r="J38" s="7" t="s">
        <v>39</v>
      </c>
      <c r="K38" s="27" t="str">
        <f>TEXT(TicketData[[#This Row],[Date Raised]],"MMM YYYY")</f>
        <v>Feb 2025</v>
      </c>
      <c r="L38" s="27" t="str">
        <f>IF(TicketData[[#This Row],[SLA Met]]="yes","Met","Breached")</f>
        <v>Breached</v>
      </c>
    </row>
    <row r="39" spans="1:12" x14ac:dyDescent="0.25">
      <c r="A39" s="13" t="s">
        <v>109</v>
      </c>
      <c r="B39" s="4" t="s">
        <v>82</v>
      </c>
      <c r="C39" s="4" t="s">
        <v>36</v>
      </c>
      <c r="D39" s="2" t="s">
        <v>13</v>
      </c>
      <c r="E39" s="4" t="s">
        <v>27</v>
      </c>
      <c r="F39" s="4" t="s">
        <v>37</v>
      </c>
      <c r="G39" s="4" t="s">
        <v>16</v>
      </c>
      <c r="H39" s="4" t="s">
        <v>24</v>
      </c>
      <c r="I39" s="4" t="s">
        <v>82</v>
      </c>
      <c r="J39" s="6" t="s">
        <v>29</v>
      </c>
      <c r="K39" s="27" t="str">
        <f>TEXT(TicketData[[#This Row],[Date Raised]],"MMM YYYY")</f>
        <v>Mar 2025</v>
      </c>
      <c r="L39" s="27" t="str">
        <f>IF(TicketData[[#This Row],[SLA Met]]="yes","Met","Breached")</f>
        <v>Met</v>
      </c>
    </row>
    <row r="40" spans="1:12" x14ac:dyDescent="0.25">
      <c r="A40" s="12" t="s">
        <v>110</v>
      </c>
      <c r="B40" s="1" t="s">
        <v>111</v>
      </c>
      <c r="C40" s="1" t="s">
        <v>32</v>
      </c>
      <c r="D40" s="5" t="s">
        <v>21</v>
      </c>
      <c r="E40" s="1" t="s">
        <v>46</v>
      </c>
      <c r="F40" s="1" t="s">
        <v>22</v>
      </c>
      <c r="G40" s="1" t="s">
        <v>38</v>
      </c>
      <c r="H40" s="1" t="s">
        <v>17</v>
      </c>
      <c r="I40" s="1"/>
      <c r="J40" s="3" t="s">
        <v>18</v>
      </c>
      <c r="K40" s="27" t="str">
        <f>TEXT(TicketData[[#This Row],[Date Raised]],"MMM YYYY")</f>
        <v>Jan 2025</v>
      </c>
      <c r="L40" s="27" t="str">
        <f>IF(TicketData[[#This Row],[SLA Met]]="yes","Met","Breached")</f>
        <v>Breached</v>
      </c>
    </row>
    <row r="41" spans="1:12" x14ac:dyDescent="0.25">
      <c r="A41" s="13" t="s">
        <v>112</v>
      </c>
      <c r="B41" s="4" t="s">
        <v>74</v>
      </c>
      <c r="C41" s="4" t="s">
        <v>36</v>
      </c>
      <c r="D41" s="2" t="s">
        <v>13</v>
      </c>
      <c r="E41" s="4" t="s">
        <v>27</v>
      </c>
      <c r="F41" s="4" t="s">
        <v>22</v>
      </c>
      <c r="G41" s="4" t="s">
        <v>16</v>
      </c>
      <c r="H41" s="4" t="s">
        <v>24</v>
      </c>
      <c r="I41" s="4" t="s">
        <v>74</v>
      </c>
      <c r="J41" s="6" t="s">
        <v>29</v>
      </c>
      <c r="K41" s="27" t="str">
        <f>TEXT(TicketData[[#This Row],[Date Raised]],"MMM YYYY")</f>
        <v>Mar 2025</v>
      </c>
      <c r="L41" s="27" t="str">
        <f>IF(TicketData[[#This Row],[SLA Met]]="yes","Met","Breached")</f>
        <v>Met</v>
      </c>
    </row>
    <row r="42" spans="1:12" x14ac:dyDescent="0.25">
      <c r="A42" s="12" t="s">
        <v>113</v>
      </c>
      <c r="B42" s="1" t="s">
        <v>114</v>
      </c>
      <c r="C42" s="1" t="s">
        <v>36</v>
      </c>
      <c r="D42" s="5" t="s">
        <v>21</v>
      </c>
      <c r="E42" s="1" t="s">
        <v>14</v>
      </c>
      <c r="F42" s="1" t="s">
        <v>33</v>
      </c>
      <c r="G42" s="1" t="s">
        <v>23</v>
      </c>
      <c r="H42" s="1" t="s">
        <v>24</v>
      </c>
      <c r="I42" s="1"/>
      <c r="J42" s="3" t="s">
        <v>18</v>
      </c>
      <c r="K42" s="27" t="str">
        <f>TEXT(TicketData[[#This Row],[Date Raised]],"MMM YYYY")</f>
        <v>Mar 2025</v>
      </c>
      <c r="L42" s="27" t="str">
        <f>IF(TicketData[[#This Row],[SLA Met]]="yes","Met","Breached")</f>
        <v>Breached</v>
      </c>
    </row>
    <row r="43" spans="1:12" x14ac:dyDescent="0.25">
      <c r="A43" s="13" t="s">
        <v>115</v>
      </c>
      <c r="B43" s="4" t="s">
        <v>116</v>
      </c>
      <c r="C43" s="4" t="s">
        <v>12</v>
      </c>
      <c r="D43" s="2" t="s">
        <v>13</v>
      </c>
      <c r="E43" s="4" t="s">
        <v>27</v>
      </c>
      <c r="F43" s="4" t="s">
        <v>22</v>
      </c>
      <c r="G43" s="4" t="s">
        <v>38</v>
      </c>
      <c r="H43" s="4" t="s">
        <v>17</v>
      </c>
      <c r="I43" s="4" t="s">
        <v>116</v>
      </c>
      <c r="J43" s="6" t="s">
        <v>29</v>
      </c>
      <c r="K43" s="27" t="str">
        <f>TEXT(TicketData[[#This Row],[Date Raised]],"MMM YYYY")</f>
        <v>Mar 2025</v>
      </c>
      <c r="L43" s="27" t="str">
        <f>IF(TicketData[[#This Row],[SLA Met]]="yes","Met","Breached")</f>
        <v>Met</v>
      </c>
    </row>
    <row r="44" spans="1:12" x14ac:dyDescent="0.25">
      <c r="A44" s="12" t="s">
        <v>117</v>
      </c>
      <c r="B44" s="1" t="s">
        <v>118</v>
      </c>
      <c r="C44" s="1" t="s">
        <v>67</v>
      </c>
      <c r="D44" s="5" t="s">
        <v>21</v>
      </c>
      <c r="E44" s="1" t="s">
        <v>14</v>
      </c>
      <c r="F44" s="1" t="s">
        <v>15</v>
      </c>
      <c r="G44" s="1" t="s">
        <v>23</v>
      </c>
      <c r="H44" s="1" t="s">
        <v>24</v>
      </c>
      <c r="I44" s="1"/>
      <c r="J44" s="3" t="s">
        <v>18</v>
      </c>
      <c r="K44" s="27" t="str">
        <f>TEXT(TicketData[[#This Row],[Date Raised]],"MMM YYYY")</f>
        <v>Feb 2025</v>
      </c>
      <c r="L44" s="27" t="str">
        <f>IF(TicketData[[#This Row],[SLA Met]]="yes","Met","Breached")</f>
        <v>Breached</v>
      </c>
    </row>
    <row r="45" spans="1:12" x14ac:dyDescent="0.25">
      <c r="A45" s="13" t="s">
        <v>119</v>
      </c>
      <c r="B45" s="4" t="s">
        <v>108</v>
      </c>
      <c r="C45" s="4" t="s">
        <v>12</v>
      </c>
      <c r="D45" s="2" t="s">
        <v>13</v>
      </c>
      <c r="E45" s="4" t="s">
        <v>14</v>
      </c>
      <c r="F45" s="4" t="s">
        <v>37</v>
      </c>
      <c r="G45" s="4" t="s">
        <v>53</v>
      </c>
      <c r="H45" s="4" t="s">
        <v>17</v>
      </c>
      <c r="I45" s="4"/>
      <c r="J45" s="3" t="s">
        <v>18</v>
      </c>
      <c r="K45" s="27" t="str">
        <f>TEXT(TicketData[[#This Row],[Date Raised]],"MMM YYYY")</f>
        <v>Feb 2025</v>
      </c>
      <c r="L45" s="27" t="str">
        <f>IF(TicketData[[#This Row],[SLA Met]]="yes","Met","Breached")</f>
        <v>Breached</v>
      </c>
    </row>
    <row r="46" spans="1:12" x14ac:dyDescent="0.25">
      <c r="A46" s="12" t="s">
        <v>120</v>
      </c>
      <c r="B46" s="1" t="s">
        <v>121</v>
      </c>
      <c r="C46" s="1" t="s">
        <v>36</v>
      </c>
      <c r="D46" s="2" t="s">
        <v>13</v>
      </c>
      <c r="E46" s="1" t="s">
        <v>14</v>
      </c>
      <c r="F46" s="1" t="s">
        <v>15</v>
      </c>
      <c r="G46" s="1" t="s">
        <v>16</v>
      </c>
      <c r="H46" s="1" t="s">
        <v>24</v>
      </c>
      <c r="I46" s="1"/>
      <c r="J46" s="3" t="s">
        <v>18</v>
      </c>
      <c r="K46" s="27" t="str">
        <f>TEXT(TicketData[[#This Row],[Date Raised]],"MMM YYYY")</f>
        <v>Jan 2025</v>
      </c>
      <c r="L46" s="27" t="str">
        <f>IF(TicketData[[#This Row],[SLA Met]]="yes","Met","Breached")</f>
        <v>Breached</v>
      </c>
    </row>
    <row r="47" spans="1:12" x14ac:dyDescent="0.25">
      <c r="A47" s="13" t="s">
        <v>122</v>
      </c>
      <c r="B47" s="4" t="s">
        <v>45</v>
      </c>
      <c r="C47" s="4" t="s">
        <v>32</v>
      </c>
      <c r="D47" s="5" t="s">
        <v>21</v>
      </c>
      <c r="E47" s="4" t="s">
        <v>27</v>
      </c>
      <c r="F47" s="4" t="s">
        <v>22</v>
      </c>
      <c r="G47" s="4" t="s">
        <v>38</v>
      </c>
      <c r="H47" s="4" t="s">
        <v>17</v>
      </c>
      <c r="I47" s="4" t="s">
        <v>45</v>
      </c>
      <c r="J47" s="6" t="s">
        <v>29</v>
      </c>
      <c r="K47" s="27" t="str">
        <f>TEXT(TicketData[[#This Row],[Date Raised]],"MMM YYYY")</f>
        <v>Mar 2025</v>
      </c>
      <c r="L47" s="27" t="str">
        <f>IF(TicketData[[#This Row],[SLA Met]]="yes","Met","Breached")</f>
        <v>Met</v>
      </c>
    </row>
    <row r="48" spans="1:12" x14ac:dyDescent="0.25">
      <c r="A48" s="12" t="s">
        <v>123</v>
      </c>
      <c r="B48" s="1" t="s">
        <v>64</v>
      </c>
      <c r="C48" s="1" t="s">
        <v>79</v>
      </c>
      <c r="D48" s="2" t="s">
        <v>13</v>
      </c>
      <c r="E48" s="1" t="s">
        <v>42</v>
      </c>
      <c r="F48" s="1" t="s">
        <v>52</v>
      </c>
      <c r="G48" s="1" t="s">
        <v>38</v>
      </c>
      <c r="H48" s="1" t="s">
        <v>24</v>
      </c>
      <c r="I48" s="1"/>
      <c r="J48" s="3" t="s">
        <v>18</v>
      </c>
      <c r="K48" s="27" t="str">
        <f>TEXT(TicketData[[#This Row],[Date Raised]],"MMM YYYY")</f>
        <v>Mar 2025</v>
      </c>
      <c r="L48" s="27" t="str">
        <f>IF(TicketData[[#This Row],[SLA Met]]="yes","Met","Breached")</f>
        <v>Breached</v>
      </c>
    </row>
    <row r="49" spans="1:12" x14ac:dyDescent="0.25">
      <c r="A49" s="13" t="s">
        <v>124</v>
      </c>
      <c r="B49" s="4" t="s">
        <v>125</v>
      </c>
      <c r="C49" s="4" t="s">
        <v>12</v>
      </c>
      <c r="D49" s="8" t="s">
        <v>58</v>
      </c>
      <c r="E49" s="4" t="s">
        <v>27</v>
      </c>
      <c r="F49" s="4" t="s">
        <v>28</v>
      </c>
      <c r="G49" s="4" t="s">
        <v>38</v>
      </c>
      <c r="H49" s="4" t="s">
        <v>24</v>
      </c>
      <c r="I49" s="4" t="s">
        <v>125</v>
      </c>
      <c r="J49" s="6" t="s">
        <v>29</v>
      </c>
      <c r="K49" s="27" t="str">
        <f>TEXT(TicketData[[#This Row],[Date Raised]],"MMM YYYY")</f>
        <v>Feb 2025</v>
      </c>
      <c r="L49" s="27" t="str">
        <f>IF(TicketData[[#This Row],[SLA Met]]="yes","Met","Breached")</f>
        <v>Met</v>
      </c>
    </row>
    <row r="50" spans="1:12" x14ac:dyDescent="0.25">
      <c r="A50" s="12" t="s">
        <v>126</v>
      </c>
      <c r="B50" s="1" t="s">
        <v>127</v>
      </c>
      <c r="C50" s="1" t="s">
        <v>67</v>
      </c>
      <c r="D50" s="2" t="s">
        <v>13</v>
      </c>
      <c r="E50" s="1" t="s">
        <v>27</v>
      </c>
      <c r="F50" s="1" t="s">
        <v>52</v>
      </c>
      <c r="G50" s="1" t="s">
        <v>43</v>
      </c>
      <c r="H50" s="1" t="s">
        <v>17</v>
      </c>
      <c r="I50" s="1" t="s">
        <v>127</v>
      </c>
      <c r="J50" s="6" t="s">
        <v>29</v>
      </c>
      <c r="K50" s="27" t="str">
        <f>TEXT(TicketData[[#This Row],[Date Raised]],"MMM YYYY")</f>
        <v>Mar 2025</v>
      </c>
      <c r="L50" s="27" t="str">
        <f>IF(TicketData[[#This Row],[SLA Met]]="yes","Met","Breached")</f>
        <v>Met</v>
      </c>
    </row>
    <row r="51" spans="1:12" x14ac:dyDescent="0.25">
      <c r="A51" s="13" t="s">
        <v>128</v>
      </c>
      <c r="B51" s="4" t="s">
        <v>88</v>
      </c>
      <c r="C51" s="4" t="s">
        <v>67</v>
      </c>
      <c r="D51" s="8" t="s">
        <v>58</v>
      </c>
      <c r="E51" s="4" t="s">
        <v>27</v>
      </c>
      <c r="F51" s="4" t="s">
        <v>22</v>
      </c>
      <c r="G51" s="4" t="s">
        <v>43</v>
      </c>
      <c r="H51" s="4" t="s">
        <v>17</v>
      </c>
      <c r="I51" s="4" t="s">
        <v>88</v>
      </c>
      <c r="J51" s="7" t="s">
        <v>39</v>
      </c>
      <c r="K51" s="27" t="str">
        <f>TEXT(TicketData[[#This Row],[Date Raised]],"MMM YYYY")</f>
        <v>Feb 2025</v>
      </c>
      <c r="L51" s="27" t="str">
        <f>IF(TicketData[[#This Row],[SLA Met]]="yes","Met","Breached")</f>
        <v>Breached</v>
      </c>
    </row>
    <row r="52" spans="1:12" x14ac:dyDescent="0.25">
      <c r="A52" s="12" t="s">
        <v>129</v>
      </c>
      <c r="B52" s="1" t="s">
        <v>130</v>
      </c>
      <c r="C52" s="1" t="s">
        <v>32</v>
      </c>
      <c r="D52" s="8" t="s">
        <v>58</v>
      </c>
      <c r="E52" s="1" t="s">
        <v>27</v>
      </c>
      <c r="F52" s="1" t="s">
        <v>28</v>
      </c>
      <c r="G52" s="1" t="s">
        <v>16</v>
      </c>
      <c r="H52" s="1" t="s">
        <v>17</v>
      </c>
      <c r="I52" s="1" t="s">
        <v>130</v>
      </c>
      <c r="J52" s="6" t="s">
        <v>29</v>
      </c>
      <c r="K52" s="27" t="str">
        <f>TEXT(TicketData[[#This Row],[Date Raised]],"MMM YYYY")</f>
        <v>Jan 2025</v>
      </c>
      <c r="L52" s="27" t="str">
        <f>IF(TicketData[[#This Row],[SLA Met]]="yes","Met","Breached")</f>
        <v>Met</v>
      </c>
    </row>
    <row r="53" spans="1:12" x14ac:dyDescent="0.25">
      <c r="A53" s="13" t="s">
        <v>131</v>
      </c>
      <c r="B53" s="4" t="s">
        <v>132</v>
      </c>
      <c r="C53" s="4" t="s">
        <v>36</v>
      </c>
      <c r="D53" s="2" t="s">
        <v>13</v>
      </c>
      <c r="E53" s="4" t="s">
        <v>27</v>
      </c>
      <c r="F53" s="4" t="s">
        <v>47</v>
      </c>
      <c r="G53" s="4" t="s">
        <v>23</v>
      </c>
      <c r="H53" s="4" t="s">
        <v>24</v>
      </c>
      <c r="I53" s="4" t="s">
        <v>132</v>
      </c>
      <c r="J53" s="6" t="s">
        <v>29</v>
      </c>
      <c r="K53" s="27" t="str">
        <f>TEXT(TicketData[[#This Row],[Date Raised]],"MMM YYYY")</f>
        <v>Feb 2025</v>
      </c>
      <c r="L53" s="27" t="str">
        <f>IF(TicketData[[#This Row],[SLA Met]]="yes","Met","Breached")</f>
        <v>Met</v>
      </c>
    </row>
    <row r="54" spans="1:12" x14ac:dyDescent="0.25">
      <c r="A54" s="12" t="s">
        <v>133</v>
      </c>
      <c r="B54" s="1" t="s">
        <v>132</v>
      </c>
      <c r="C54" s="1" t="s">
        <v>12</v>
      </c>
      <c r="D54" s="2" t="s">
        <v>13</v>
      </c>
      <c r="E54" s="1" t="s">
        <v>27</v>
      </c>
      <c r="F54" s="1" t="s">
        <v>52</v>
      </c>
      <c r="G54" s="1" t="s">
        <v>23</v>
      </c>
      <c r="H54" s="1" t="s">
        <v>24</v>
      </c>
      <c r="I54" s="1" t="s">
        <v>132</v>
      </c>
      <c r="J54" s="6" t="s">
        <v>29</v>
      </c>
      <c r="K54" s="27" t="str">
        <f>TEXT(TicketData[[#This Row],[Date Raised]],"MMM YYYY")</f>
        <v>Feb 2025</v>
      </c>
      <c r="L54" s="27" t="str">
        <f>IF(TicketData[[#This Row],[SLA Met]]="yes","Met","Breached")</f>
        <v>Met</v>
      </c>
    </row>
    <row r="55" spans="1:12" x14ac:dyDescent="0.25">
      <c r="A55" s="13" t="s">
        <v>134</v>
      </c>
      <c r="B55" s="4" t="s">
        <v>135</v>
      </c>
      <c r="C55" s="4" t="s">
        <v>36</v>
      </c>
      <c r="D55" s="5" t="s">
        <v>21</v>
      </c>
      <c r="E55" s="4" t="s">
        <v>27</v>
      </c>
      <c r="F55" s="4" t="s">
        <v>37</v>
      </c>
      <c r="G55" s="4" t="s">
        <v>23</v>
      </c>
      <c r="H55" s="4" t="s">
        <v>17</v>
      </c>
      <c r="I55" s="4" t="s">
        <v>135</v>
      </c>
      <c r="J55" s="6" t="s">
        <v>29</v>
      </c>
      <c r="K55" s="27" t="str">
        <f>TEXT(TicketData[[#This Row],[Date Raised]],"MMM YYYY")</f>
        <v>Feb 2025</v>
      </c>
      <c r="L55" s="27" t="str">
        <f>IF(TicketData[[#This Row],[SLA Met]]="yes","Met","Breached")</f>
        <v>Met</v>
      </c>
    </row>
    <row r="56" spans="1:12" x14ac:dyDescent="0.25">
      <c r="A56" s="12" t="s">
        <v>136</v>
      </c>
      <c r="B56" s="1" t="s">
        <v>108</v>
      </c>
      <c r="C56" s="1" t="s">
        <v>12</v>
      </c>
      <c r="D56" s="5" t="s">
        <v>21</v>
      </c>
      <c r="E56" s="1" t="s">
        <v>42</v>
      </c>
      <c r="F56" s="1" t="s">
        <v>33</v>
      </c>
      <c r="G56" s="1" t="s">
        <v>23</v>
      </c>
      <c r="H56" s="1" t="s">
        <v>17</v>
      </c>
      <c r="I56" s="1"/>
      <c r="J56" s="3" t="s">
        <v>18</v>
      </c>
      <c r="K56" s="27" t="str">
        <f>TEXT(TicketData[[#This Row],[Date Raised]],"MMM YYYY")</f>
        <v>Feb 2025</v>
      </c>
      <c r="L56" s="27" t="str">
        <f>IF(TicketData[[#This Row],[SLA Met]]="yes","Met","Breached")</f>
        <v>Breached</v>
      </c>
    </row>
    <row r="57" spans="1:12" x14ac:dyDescent="0.25">
      <c r="A57" s="13" t="s">
        <v>137</v>
      </c>
      <c r="B57" s="4" t="s">
        <v>125</v>
      </c>
      <c r="C57" s="4" t="s">
        <v>32</v>
      </c>
      <c r="D57" s="2" t="s">
        <v>13</v>
      </c>
      <c r="E57" s="4" t="s">
        <v>14</v>
      </c>
      <c r="F57" s="4" t="s">
        <v>47</v>
      </c>
      <c r="G57" s="4" t="s">
        <v>23</v>
      </c>
      <c r="H57" s="4" t="s">
        <v>24</v>
      </c>
      <c r="I57" s="4"/>
      <c r="J57" s="3" t="s">
        <v>18</v>
      </c>
      <c r="K57" s="27" t="str">
        <f>TEXT(TicketData[[#This Row],[Date Raised]],"MMM YYYY")</f>
        <v>Feb 2025</v>
      </c>
      <c r="L57" s="27" t="str">
        <f>IF(TicketData[[#This Row],[SLA Met]]="yes","Met","Breached")</f>
        <v>Breached</v>
      </c>
    </row>
    <row r="58" spans="1:12" x14ac:dyDescent="0.25">
      <c r="A58" s="12" t="s">
        <v>138</v>
      </c>
      <c r="B58" s="1" t="s">
        <v>116</v>
      </c>
      <c r="C58" s="1" t="s">
        <v>12</v>
      </c>
      <c r="D58" s="5" t="s">
        <v>21</v>
      </c>
      <c r="E58" s="1" t="s">
        <v>27</v>
      </c>
      <c r="F58" s="1" t="s">
        <v>15</v>
      </c>
      <c r="G58" s="1" t="s">
        <v>43</v>
      </c>
      <c r="H58" s="1" t="s">
        <v>24</v>
      </c>
      <c r="I58" s="1" t="s">
        <v>116</v>
      </c>
      <c r="J58" s="6" t="s">
        <v>29</v>
      </c>
      <c r="K58" s="27" t="str">
        <f>TEXT(TicketData[[#This Row],[Date Raised]],"MMM YYYY")</f>
        <v>Mar 2025</v>
      </c>
      <c r="L58" s="27" t="str">
        <f>IF(TicketData[[#This Row],[SLA Met]]="yes","Met","Breached")</f>
        <v>Met</v>
      </c>
    </row>
    <row r="59" spans="1:12" x14ac:dyDescent="0.25">
      <c r="A59" s="13" t="s">
        <v>139</v>
      </c>
      <c r="B59" s="4" t="s">
        <v>45</v>
      </c>
      <c r="C59" s="4" t="s">
        <v>67</v>
      </c>
      <c r="D59" s="2" t="s">
        <v>13</v>
      </c>
      <c r="E59" s="4" t="s">
        <v>42</v>
      </c>
      <c r="F59" s="4" t="s">
        <v>37</v>
      </c>
      <c r="G59" s="4" t="s">
        <v>16</v>
      </c>
      <c r="H59" s="4" t="s">
        <v>24</v>
      </c>
      <c r="I59" s="4"/>
      <c r="J59" s="3" t="s">
        <v>18</v>
      </c>
      <c r="K59" s="27" t="str">
        <f>TEXT(TicketData[[#This Row],[Date Raised]],"MMM YYYY")</f>
        <v>Mar 2025</v>
      </c>
      <c r="L59" s="27" t="str">
        <f>IF(TicketData[[#This Row],[SLA Met]]="yes","Met","Breached")</f>
        <v>Breached</v>
      </c>
    </row>
    <row r="60" spans="1:12" x14ac:dyDescent="0.25">
      <c r="A60" s="12" t="s">
        <v>140</v>
      </c>
      <c r="B60" s="1" t="s">
        <v>98</v>
      </c>
      <c r="C60" s="1" t="s">
        <v>79</v>
      </c>
      <c r="D60" s="2" t="s">
        <v>13</v>
      </c>
      <c r="E60" s="1" t="s">
        <v>27</v>
      </c>
      <c r="F60" s="1" t="s">
        <v>15</v>
      </c>
      <c r="G60" s="1" t="s">
        <v>16</v>
      </c>
      <c r="H60" s="1" t="s">
        <v>24</v>
      </c>
      <c r="I60" s="1" t="s">
        <v>98</v>
      </c>
      <c r="J60" s="6" t="s">
        <v>29</v>
      </c>
      <c r="K60" s="27" t="str">
        <f>TEXT(TicketData[[#This Row],[Date Raised]],"MMM YYYY")</f>
        <v>Feb 2025</v>
      </c>
      <c r="L60" s="27" t="str">
        <f>IF(TicketData[[#This Row],[SLA Met]]="yes","Met","Breached")</f>
        <v>Met</v>
      </c>
    </row>
    <row r="61" spans="1:12" x14ac:dyDescent="0.25">
      <c r="A61" s="13" t="s">
        <v>141</v>
      </c>
      <c r="B61" s="4" t="s">
        <v>142</v>
      </c>
      <c r="C61" s="4" t="s">
        <v>36</v>
      </c>
      <c r="D61" s="8" t="s">
        <v>58</v>
      </c>
      <c r="E61" s="4" t="s">
        <v>42</v>
      </c>
      <c r="F61" s="4" t="s">
        <v>71</v>
      </c>
      <c r="G61" s="4" t="s">
        <v>16</v>
      </c>
      <c r="H61" s="4" t="s">
        <v>24</v>
      </c>
      <c r="I61" s="4"/>
      <c r="J61" s="3" t="s">
        <v>18</v>
      </c>
      <c r="K61" s="27" t="str">
        <f>TEXT(TicketData[[#This Row],[Date Raised]],"MMM YYYY")</f>
        <v>Mar 2025</v>
      </c>
      <c r="L61" s="27" t="str">
        <f>IF(TicketData[[#This Row],[SLA Met]]="yes","Met","Breached")</f>
        <v>Breached</v>
      </c>
    </row>
    <row r="62" spans="1:12" x14ac:dyDescent="0.25">
      <c r="A62" s="12" t="s">
        <v>143</v>
      </c>
      <c r="B62" s="1" t="s">
        <v>144</v>
      </c>
      <c r="C62" s="1" t="s">
        <v>12</v>
      </c>
      <c r="D62" s="8" t="s">
        <v>58</v>
      </c>
      <c r="E62" s="1" t="s">
        <v>46</v>
      </c>
      <c r="F62" s="1" t="s">
        <v>47</v>
      </c>
      <c r="G62" s="1" t="s">
        <v>38</v>
      </c>
      <c r="H62" s="1" t="s">
        <v>17</v>
      </c>
      <c r="I62" s="1"/>
      <c r="J62" s="3" t="s">
        <v>18</v>
      </c>
      <c r="K62" s="27" t="str">
        <f>TEXT(TicketData[[#This Row],[Date Raised]],"MMM YYYY")</f>
        <v>Jan 2025</v>
      </c>
      <c r="L62" s="27" t="str">
        <f>IF(TicketData[[#This Row],[SLA Met]]="yes","Met","Breached")</f>
        <v>Breached</v>
      </c>
    </row>
    <row r="63" spans="1:12" x14ac:dyDescent="0.25">
      <c r="A63" s="13" t="s">
        <v>145</v>
      </c>
      <c r="B63" s="4" t="s">
        <v>146</v>
      </c>
      <c r="C63" s="4" t="s">
        <v>36</v>
      </c>
      <c r="D63" s="2" t="s">
        <v>13</v>
      </c>
      <c r="E63" s="4" t="s">
        <v>27</v>
      </c>
      <c r="F63" s="4" t="s">
        <v>52</v>
      </c>
      <c r="G63" s="4" t="s">
        <v>38</v>
      </c>
      <c r="H63" s="4" t="s">
        <v>17</v>
      </c>
      <c r="I63" s="4" t="s">
        <v>146</v>
      </c>
      <c r="J63" s="6" t="s">
        <v>29</v>
      </c>
      <c r="K63" s="27" t="str">
        <f>TEXT(TicketData[[#This Row],[Date Raised]],"MMM YYYY")</f>
        <v>Mar 2025</v>
      </c>
      <c r="L63" s="27" t="str">
        <f>IF(TicketData[[#This Row],[SLA Met]]="yes","Met","Breached")</f>
        <v>Met</v>
      </c>
    </row>
    <row r="64" spans="1:12" x14ac:dyDescent="0.25">
      <c r="A64" s="12" t="s">
        <v>147</v>
      </c>
      <c r="B64" s="1" t="s">
        <v>148</v>
      </c>
      <c r="C64" s="1" t="s">
        <v>12</v>
      </c>
      <c r="D64" s="8" t="s">
        <v>58</v>
      </c>
      <c r="E64" s="1" t="s">
        <v>42</v>
      </c>
      <c r="F64" s="1" t="s">
        <v>28</v>
      </c>
      <c r="G64" s="1" t="s">
        <v>43</v>
      </c>
      <c r="H64" s="1" t="s">
        <v>24</v>
      </c>
      <c r="I64" s="1"/>
      <c r="J64" s="3" t="s">
        <v>18</v>
      </c>
      <c r="K64" s="27" t="str">
        <f>TEXT(TicketData[[#This Row],[Date Raised]],"MMM YYYY")</f>
        <v>Mar 2025</v>
      </c>
      <c r="L64" s="27" t="str">
        <f>IF(TicketData[[#This Row],[SLA Met]]="yes","Met","Breached")</f>
        <v>Breached</v>
      </c>
    </row>
    <row r="65" spans="1:12" x14ac:dyDescent="0.25">
      <c r="A65" s="13" t="s">
        <v>149</v>
      </c>
      <c r="B65" s="4" t="s">
        <v>98</v>
      </c>
      <c r="C65" s="4" t="s">
        <v>67</v>
      </c>
      <c r="D65" s="2" t="s">
        <v>13</v>
      </c>
      <c r="E65" s="4" t="s">
        <v>14</v>
      </c>
      <c r="F65" s="4" t="s">
        <v>33</v>
      </c>
      <c r="G65" s="4" t="s">
        <v>38</v>
      </c>
      <c r="H65" s="4" t="s">
        <v>24</v>
      </c>
      <c r="I65" s="4"/>
      <c r="J65" s="3" t="s">
        <v>18</v>
      </c>
      <c r="K65" s="27" t="str">
        <f>TEXT(TicketData[[#This Row],[Date Raised]],"MMM YYYY")</f>
        <v>Feb 2025</v>
      </c>
      <c r="L65" s="27" t="str">
        <f>IF(TicketData[[#This Row],[SLA Met]]="yes","Met","Breached")</f>
        <v>Breached</v>
      </c>
    </row>
    <row r="66" spans="1:12" x14ac:dyDescent="0.25">
      <c r="A66" s="12" t="s">
        <v>150</v>
      </c>
      <c r="B66" s="1" t="s">
        <v>31</v>
      </c>
      <c r="C66" s="1" t="s">
        <v>67</v>
      </c>
      <c r="D66" s="5" t="s">
        <v>21</v>
      </c>
      <c r="E66" s="1" t="s">
        <v>46</v>
      </c>
      <c r="F66" s="1" t="s">
        <v>71</v>
      </c>
      <c r="G66" s="1" t="s">
        <v>38</v>
      </c>
      <c r="H66" s="1" t="s">
        <v>17</v>
      </c>
      <c r="I66" s="1"/>
      <c r="J66" s="3" t="s">
        <v>18</v>
      </c>
      <c r="K66" s="27" t="str">
        <f>TEXT(TicketData[[#This Row],[Date Raised]],"MMM YYYY")</f>
        <v>Jan 2025</v>
      </c>
      <c r="L66" s="27" t="str">
        <f>IF(TicketData[[#This Row],[SLA Met]]="yes","Met","Breached")</f>
        <v>Breached</v>
      </c>
    </row>
    <row r="67" spans="1:12" x14ac:dyDescent="0.25">
      <c r="A67" s="13" t="s">
        <v>151</v>
      </c>
      <c r="B67" s="4" t="s">
        <v>72</v>
      </c>
      <c r="C67" s="4" t="s">
        <v>32</v>
      </c>
      <c r="D67" s="2" t="s">
        <v>13</v>
      </c>
      <c r="E67" s="4" t="s">
        <v>42</v>
      </c>
      <c r="F67" s="4" t="s">
        <v>47</v>
      </c>
      <c r="G67" s="4" t="s">
        <v>43</v>
      </c>
      <c r="H67" s="4" t="s">
        <v>24</v>
      </c>
      <c r="I67" s="4"/>
      <c r="J67" s="3" t="s">
        <v>18</v>
      </c>
      <c r="K67" s="27" t="str">
        <f>TEXT(TicketData[[#This Row],[Date Raised]],"MMM YYYY")</f>
        <v>Jan 2025</v>
      </c>
      <c r="L67" s="27" t="str">
        <f>IF(TicketData[[#This Row],[SLA Met]]="yes","Met","Breached")</f>
        <v>Breached</v>
      </c>
    </row>
    <row r="68" spans="1:12" x14ac:dyDescent="0.25">
      <c r="A68" s="12" t="s">
        <v>152</v>
      </c>
      <c r="B68" s="1" t="s">
        <v>45</v>
      </c>
      <c r="C68" s="1" t="s">
        <v>32</v>
      </c>
      <c r="D68" s="2" t="s">
        <v>13</v>
      </c>
      <c r="E68" s="1" t="s">
        <v>14</v>
      </c>
      <c r="F68" s="1" t="s">
        <v>71</v>
      </c>
      <c r="G68" s="1" t="s">
        <v>43</v>
      </c>
      <c r="H68" s="1" t="s">
        <v>24</v>
      </c>
      <c r="I68" s="1"/>
      <c r="J68" s="3" t="s">
        <v>18</v>
      </c>
      <c r="K68" s="27" t="str">
        <f>TEXT(TicketData[[#This Row],[Date Raised]],"MMM YYYY")</f>
        <v>Mar 2025</v>
      </c>
      <c r="L68" s="27" t="str">
        <f>IF(TicketData[[#This Row],[SLA Met]]="yes","Met","Breached")</f>
        <v>Breached</v>
      </c>
    </row>
    <row r="69" spans="1:12" x14ac:dyDescent="0.25">
      <c r="A69" s="13" t="s">
        <v>153</v>
      </c>
      <c r="B69" s="4" t="s">
        <v>107</v>
      </c>
      <c r="C69" s="4" t="s">
        <v>36</v>
      </c>
      <c r="D69" s="5" t="s">
        <v>21</v>
      </c>
      <c r="E69" s="4" t="s">
        <v>42</v>
      </c>
      <c r="F69" s="4" t="s">
        <v>28</v>
      </c>
      <c r="G69" s="4" t="s">
        <v>53</v>
      </c>
      <c r="H69" s="4" t="s">
        <v>24</v>
      </c>
      <c r="I69" s="4"/>
      <c r="J69" s="3" t="s">
        <v>18</v>
      </c>
      <c r="K69" s="27" t="str">
        <f>TEXT(TicketData[[#This Row],[Date Raised]],"MMM YYYY")</f>
        <v>Feb 2025</v>
      </c>
      <c r="L69" s="27" t="str">
        <f>IF(TicketData[[#This Row],[SLA Met]]="yes","Met","Breached")</f>
        <v>Breached</v>
      </c>
    </row>
    <row r="70" spans="1:12" x14ac:dyDescent="0.25">
      <c r="A70" s="12" t="s">
        <v>154</v>
      </c>
      <c r="B70" s="1" t="s">
        <v>155</v>
      </c>
      <c r="C70" s="1" t="s">
        <v>36</v>
      </c>
      <c r="D70" s="2" t="s">
        <v>13</v>
      </c>
      <c r="E70" s="1" t="s">
        <v>27</v>
      </c>
      <c r="F70" s="1" t="s">
        <v>47</v>
      </c>
      <c r="G70" s="1" t="s">
        <v>53</v>
      </c>
      <c r="H70" s="1" t="s">
        <v>17</v>
      </c>
      <c r="I70" s="1" t="s">
        <v>155</v>
      </c>
      <c r="J70" s="6" t="s">
        <v>29</v>
      </c>
      <c r="K70" s="27" t="str">
        <f>TEXT(TicketData[[#This Row],[Date Raised]],"MMM YYYY")</f>
        <v>Jan 2025</v>
      </c>
      <c r="L70" s="27" t="str">
        <f>IF(TicketData[[#This Row],[SLA Met]]="yes","Met","Breached")</f>
        <v>Met</v>
      </c>
    </row>
    <row r="71" spans="1:12" x14ac:dyDescent="0.25">
      <c r="A71" s="13" t="s">
        <v>156</v>
      </c>
      <c r="B71" s="4" t="s">
        <v>157</v>
      </c>
      <c r="C71" s="4" t="s">
        <v>67</v>
      </c>
      <c r="D71" s="5" t="s">
        <v>21</v>
      </c>
      <c r="E71" s="4" t="s">
        <v>27</v>
      </c>
      <c r="F71" s="4" t="s">
        <v>22</v>
      </c>
      <c r="G71" s="4" t="s">
        <v>43</v>
      </c>
      <c r="H71" s="4" t="s">
        <v>24</v>
      </c>
      <c r="I71" s="4" t="s">
        <v>157</v>
      </c>
      <c r="J71" s="6" t="s">
        <v>29</v>
      </c>
      <c r="K71" s="27" t="str">
        <f>TEXT(TicketData[[#This Row],[Date Raised]],"MMM YYYY")</f>
        <v>Feb 2025</v>
      </c>
      <c r="L71" s="27" t="str">
        <f>IF(TicketData[[#This Row],[SLA Met]]="yes","Met","Breached")</f>
        <v>Met</v>
      </c>
    </row>
    <row r="72" spans="1:12" x14ac:dyDescent="0.25">
      <c r="A72" s="12" t="s">
        <v>158</v>
      </c>
      <c r="B72" s="1" t="s">
        <v>89</v>
      </c>
      <c r="C72" s="1" t="s">
        <v>12</v>
      </c>
      <c r="D72" s="2" t="s">
        <v>13</v>
      </c>
      <c r="E72" s="1" t="s">
        <v>42</v>
      </c>
      <c r="F72" s="1" t="s">
        <v>37</v>
      </c>
      <c r="G72" s="1" t="s">
        <v>23</v>
      </c>
      <c r="H72" s="1" t="s">
        <v>17</v>
      </c>
      <c r="I72" s="1"/>
      <c r="J72" s="3" t="s">
        <v>18</v>
      </c>
      <c r="K72" s="27" t="str">
        <f>TEXT(TicketData[[#This Row],[Date Raised]],"MMM YYYY")</f>
        <v>Feb 2025</v>
      </c>
      <c r="L72" s="27" t="str">
        <f>IF(TicketData[[#This Row],[SLA Met]]="yes","Met","Breached")</f>
        <v>Breached</v>
      </c>
    </row>
    <row r="73" spans="1:12" x14ac:dyDescent="0.25">
      <c r="A73" s="13" t="s">
        <v>159</v>
      </c>
      <c r="B73" s="4" t="s">
        <v>160</v>
      </c>
      <c r="C73" s="4" t="s">
        <v>32</v>
      </c>
      <c r="D73" s="8" t="s">
        <v>58</v>
      </c>
      <c r="E73" s="4" t="s">
        <v>27</v>
      </c>
      <c r="F73" s="4" t="s">
        <v>47</v>
      </c>
      <c r="G73" s="4" t="s">
        <v>53</v>
      </c>
      <c r="H73" s="4" t="s">
        <v>24</v>
      </c>
      <c r="I73" s="4" t="s">
        <v>64</v>
      </c>
      <c r="J73" s="7" t="s">
        <v>39</v>
      </c>
      <c r="K73" s="27" t="str">
        <f>TEXT(TicketData[[#This Row],[Date Raised]],"MMM YYYY")</f>
        <v>Mar 2025</v>
      </c>
      <c r="L73" s="27" t="str">
        <f>IF(TicketData[[#This Row],[SLA Met]]="yes","Met","Breached")</f>
        <v>Breached</v>
      </c>
    </row>
    <row r="74" spans="1:12" x14ac:dyDescent="0.25">
      <c r="A74" s="12" t="s">
        <v>161</v>
      </c>
      <c r="B74" s="1" t="s">
        <v>162</v>
      </c>
      <c r="C74" s="1" t="s">
        <v>79</v>
      </c>
      <c r="D74" s="5" t="s">
        <v>21</v>
      </c>
      <c r="E74" s="1" t="s">
        <v>27</v>
      </c>
      <c r="F74" s="1" t="s">
        <v>71</v>
      </c>
      <c r="G74" s="1" t="s">
        <v>16</v>
      </c>
      <c r="H74" s="1" t="s">
        <v>24</v>
      </c>
      <c r="I74" s="1" t="s">
        <v>162</v>
      </c>
      <c r="J74" s="6" t="s">
        <v>29</v>
      </c>
      <c r="K74" s="27" t="str">
        <f>TEXT(TicketData[[#This Row],[Date Raised]],"MMM YYYY")</f>
        <v>Mar 2025</v>
      </c>
      <c r="L74" s="27" t="str">
        <f>IF(TicketData[[#This Row],[SLA Met]]="yes","Met","Breached")</f>
        <v>Met</v>
      </c>
    </row>
    <row r="75" spans="1:12" x14ac:dyDescent="0.25">
      <c r="A75" s="13" t="s">
        <v>163</v>
      </c>
      <c r="B75" s="4" t="s">
        <v>157</v>
      </c>
      <c r="C75" s="4" t="s">
        <v>36</v>
      </c>
      <c r="D75" s="5" t="s">
        <v>21</v>
      </c>
      <c r="E75" s="4" t="s">
        <v>14</v>
      </c>
      <c r="F75" s="4" t="s">
        <v>37</v>
      </c>
      <c r="G75" s="4" t="s">
        <v>16</v>
      </c>
      <c r="H75" s="4" t="s">
        <v>24</v>
      </c>
      <c r="I75" s="4"/>
      <c r="J75" s="3" t="s">
        <v>18</v>
      </c>
      <c r="K75" s="27" t="str">
        <f>TEXT(TicketData[[#This Row],[Date Raised]],"MMM YYYY")</f>
        <v>Feb 2025</v>
      </c>
      <c r="L75" s="27" t="str">
        <f>IF(TicketData[[#This Row],[SLA Met]]="yes","Met","Breached")</f>
        <v>Breached</v>
      </c>
    </row>
    <row r="76" spans="1:12" x14ac:dyDescent="0.25">
      <c r="A76" s="12" t="s">
        <v>164</v>
      </c>
      <c r="B76" s="1" t="s">
        <v>165</v>
      </c>
      <c r="C76" s="1" t="s">
        <v>79</v>
      </c>
      <c r="D76" s="5" t="s">
        <v>21</v>
      </c>
      <c r="E76" s="1" t="s">
        <v>27</v>
      </c>
      <c r="F76" s="1" t="s">
        <v>37</v>
      </c>
      <c r="G76" s="1" t="s">
        <v>23</v>
      </c>
      <c r="H76" s="1" t="s">
        <v>17</v>
      </c>
      <c r="I76" s="1" t="s">
        <v>165</v>
      </c>
      <c r="J76" s="6" t="s">
        <v>29</v>
      </c>
      <c r="K76" s="27" t="str">
        <f>TEXT(TicketData[[#This Row],[Date Raised]],"MMM YYYY")</f>
        <v>Jan 2025</v>
      </c>
      <c r="L76" s="27" t="str">
        <f>IF(TicketData[[#This Row],[SLA Met]]="yes","Met","Breached")</f>
        <v>Met</v>
      </c>
    </row>
    <row r="77" spans="1:12" x14ac:dyDescent="0.25">
      <c r="A77" s="13" t="s">
        <v>166</v>
      </c>
      <c r="B77" s="4" t="s">
        <v>20</v>
      </c>
      <c r="C77" s="4" t="s">
        <v>32</v>
      </c>
      <c r="D77" s="2" t="s">
        <v>13</v>
      </c>
      <c r="E77" s="4" t="s">
        <v>27</v>
      </c>
      <c r="F77" s="4" t="s">
        <v>15</v>
      </c>
      <c r="G77" s="4" t="s">
        <v>43</v>
      </c>
      <c r="H77" s="4" t="s">
        <v>24</v>
      </c>
      <c r="I77" s="4" t="s">
        <v>20</v>
      </c>
      <c r="J77" s="6" t="s">
        <v>29</v>
      </c>
      <c r="K77" s="27" t="str">
        <f>TEXT(TicketData[[#This Row],[Date Raised]],"MMM YYYY")</f>
        <v>Jan 2025</v>
      </c>
      <c r="L77" s="27" t="str">
        <f>IF(TicketData[[#This Row],[SLA Met]]="yes","Met","Breached")</f>
        <v>Met</v>
      </c>
    </row>
    <row r="78" spans="1:12" x14ac:dyDescent="0.25">
      <c r="A78" s="12" t="s">
        <v>167</v>
      </c>
      <c r="B78" s="1" t="s">
        <v>118</v>
      </c>
      <c r="C78" s="1" t="s">
        <v>32</v>
      </c>
      <c r="D78" s="8" t="s">
        <v>58</v>
      </c>
      <c r="E78" s="1" t="s">
        <v>42</v>
      </c>
      <c r="F78" s="1" t="s">
        <v>15</v>
      </c>
      <c r="G78" s="1" t="s">
        <v>38</v>
      </c>
      <c r="H78" s="1" t="s">
        <v>24</v>
      </c>
      <c r="I78" s="1"/>
      <c r="J78" s="3" t="s">
        <v>18</v>
      </c>
      <c r="K78" s="27" t="str">
        <f>TEXT(TicketData[[#This Row],[Date Raised]],"MMM YYYY")</f>
        <v>Feb 2025</v>
      </c>
      <c r="L78" s="27" t="str">
        <f>IF(TicketData[[#This Row],[SLA Met]]="yes","Met","Breached")</f>
        <v>Breached</v>
      </c>
    </row>
    <row r="79" spans="1:12" x14ac:dyDescent="0.25">
      <c r="A79" s="13" t="s">
        <v>168</v>
      </c>
      <c r="B79" s="4" t="s">
        <v>169</v>
      </c>
      <c r="C79" s="4" t="s">
        <v>79</v>
      </c>
      <c r="D79" s="2" t="s">
        <v>13</v>
      </c>
      <c r="E79" s="4" t="s">
        <v>27</v>
      </c>
      <c r="F79" s="4" t="s">
        <v>28</v>
      </c>
      <c r="G79" s="4" t="s">
        <v>38</v>
      </c>
      <c r="H79" s="4" t="s">
        <v>17</v>
      </c>
      <c r="I79" s="4" t="s">
        <v>169</v>
      </c>
      <c r="J79" s="6" t="s">
        <v>29</v>
      </c>
      <c r="K79" s="27" t="str">
        <f>TEXT(TicketData[[#This Row],[Date Raised]],"MMM YYYY")</f>
        <v>Jan 2025</v>
      </c>
      <c r="L79" s="27" t="str">
        <f>IF(TicketData[[#This Row],[SLA Met]]="yes","Met","Breached")</f>
        <v>Met</v>
      </c>
    </row>
    <row r="80" spans="1:12" x14ac:dyDescent="0.25">
      <c r="A80" s="12" t="s">
        <v>170</v>
      </c>
      <c r="B80" s="1" t="s">
        <v>130</v>
      </c>
      <c r="C80" s="1" t="s">
        <v>12</v>
      </c>
      <c r="D80" s="5" t="s">
        <v>21</v>
      </c>
      <c r="E80" s="1" t="s">
        <v>27</v>
      </c>
      <c r="F80" s="1" t="s">
        <v>28</v>
      </c>
      <c r="G80" s="1" t="s">
        <v>16</v>
      </c>
      <c r="H80" s="1" t="s">
        <v>24</v>
      </c>
      <c r="I80" s="1" t="s">
        <v>130</v>
      </c>
      <c r="J80" s="6" t="s">
        <v>29</v>
      </c>
      <c r="K80" s="27" t="str">
        <f>TEXT(TicketData[[#This Row],[Date Raised]],"MMM YYYY")</f>
        <v>Jan 2025</v>
      </c>
      <c r="L80" s="27" t="str">
        <f>IF(TicketData[[#This Row],[SLA Met]]="yes","Met","Breached")</f>
        <v>Met</v>
      </c>
    </row>
    <row r="81" spans="1:12" x14ac:dyDescent="0.25">
      <c r="A81" s="13" t="s">
        <v>171</v>
      </c>
      <c r="B81" s="4" t="s">
        <v>35</v>
      </c>
      <c r="C81" s="4" t="s">
        <v>32</v>
      </c>
      <c r="D81" s="5" t="s">
        <v>21</v>
      </c>
      <c r="E81" s="4" t="s">
        <v>27</v>
      </c>
      <c r="F81" s="4" t="s">
        <v>47</v>
      </c>
      <c r="G81" s="4" t="s">
        <v>16</v>
      </c>
      <c r="H81" s="4" t="s">
        <v>17</v>
      </c>
      <c r="I81" s="4" t="s">
        <v>35</v>
      </c>
      <c r="J81" s="6" t="s">
        <v>29</v>
      </c>
      <c r="K81" s="27" t="str">
        <f>TEXT(TicketData[[#This Row],[Date Raised]],"MMM YYYY")</f>
        <v>Jan 2025</v>
      </c>
      <c r="L81" s="27" t="str">
        <f>IF(TicketData[[#This Row],[SLA Met]]="yes","Met","Breached")</f>
        <v>Met</v>
      </c>
    </row>
    <row r="82" spans="1:12" x14ac:dyDescent="0.25">
      <c r="A82" s="12" t="s">
        <v>172</v>
      </c>
      <c r="B82" s="1" t="s">
        <v>173</v>
      </c>
      <c r="C82" s="1" t="s">
        <v>12</v>
      </c>
      <c r="D82" s="5" t="s">
        <v>21</v>
      </c>
      <c r="E82" s="1" t="s">
        <v>27</v>
      </c>
      <c r="F82" s="1" t="s">
        <v>15</v>
      </c>
      <c r="G82" s="1" t="s">
        <v>23</v>
      </c>
      <c r="H82" s="1" t="s">
        <v>24</v>
      </c>
      <c r="I82" s="1" t="s">
        <v>173</v>
      </c>
      <c r="J82" s="6" t="s">
        <v>29</v>
      </c>
      <c r="K82" s="27" t="str">
        <f>TEXT(TicketData[[#This Row],[Date Raised]],"MMM YYYY")</f>
        <v>Feb 2025</v>
      </c>
      <c r="L82" s="27" t="str">
        <f>IF(TicketData[[#This Row],[SLA Met]]="yes","Met","Breached")</f>
        <v>Met</v>
      </c>
    </row>
    <row r="83" spans="1:12" x14ac:dyDescent="0.25">
      <c r="A83" s="13" t="s">
        <v>174</v>
      </c>
      <c r="B83" s="4" t="s">
        <v>130</v>
      </c>
      <c r="C83" s="4" t="s">
        <v>12</v>
      </c>
      <c r="D83" s="5" t="s">
        <v>21</v>
      </c>
      <c r="E83" s="4" t="s">
        <v>14</v>
      </c>
      <c r="F83" s="4" t="s">
        <v>28</v>
      </c>
      <c r="G83" s="4" t="s">
        <v>38</v>
      </c>
      <c r="H83" s="4" t="s">
        <v>24</v>
      </c>
      <c r="I83" s="4"/>
      <c r="J83" s="3" t="s">
        <v>18</v>
      </c>
      <c r="K83" s="27" t="str">
        <f>TEXT(TicketData[[#This Row],[Date Raised]],"MMM YYYY")</f>
        <v>Jan 2025</v>
      </c>
      <c r="L83" s="27" t="str">
        <f>IF(TicketData[[#This Row],[SLA Met]]="yes","Met","Breached")</f>
        <v>Breached</v>
      </c>
    </row>
    <row r="84" spans="1:12" x14ac:dyDescent="0.25">
      <c r="A84" s="12" t="s">
        <v>175</v>
      </c>
      <c r="B84" s="1" t="s">
        <v>176</v>
      </c>
      <c r="C84" s="1" t="s">
        <v>79</v>
      </c>
      <c r="D84" s="2" t="s">
        <v>13</v>
      </c>
      <c r="E84" s="1" t="s">
        <v>46</v>
      </c>
      <c r="F84" s="1" t="s">
        <v>33</v>
      </c>
      <c r="G84" s="1" t="s">
        <v>53</v>
      </c>
      <c r="H84" s="1" t="s">
        <v>24</v>
      </c>
      <c r="I84" s="1"/>
      <c r="J84" s="3" t="s">
        <v>18</v>
      </c>
      <c r="K84" s="27" t="str">
        <f>TEXT(TicketData[[#This Row],[Date Raised]],"MMM YYYY")</f>
        <v>Mar 2025</v>
      </c>
      <c r="L84" s="27" t="str">
        <f>IF(TicketData[[#This Row],[SLA Met]]="yes","Met","Breached")</f>
        <v>Breached</v>
      </c>
    </row>
    <row r="85" spans="1:12" x14ac:dyDescent="0.25">
      <c r="A85" s="13" t="s">
        <v>177</v>
      </c>
      <c r="B85" s="4" t="s">
        <v>116</v>
      </c>
      <c r="C85" s="4" t="s">
        <v>36</v>
      </c>
      <c r="D85" s="2" t="s">
        <v>13</v>
      </c>
      <c r="E85" s="4" t="s">
        <v>46</v>
      </c>
      <c r="F85" s="4" t="s">
        <v>47</v>
      </c>
      <c r="G85" s="4" t="s">
        <v>38</v>
      </c>
      <c r="H85" s="4" t="s">
        <v>24</v>
      </c>
      <c r="I85" s="4"/>
      <c r="J85" s="3" t="s">
        <v>18</v>
      </c>
      <c r="K85" s="27" t="str">
        <f>TEXT(TicketData[[#This Row],[Date Raised]],"MMM YYYY")</f>
        <v>Mar 2025</v>
      </c>
      <c r="L85" s="27" t="str">
        <f>IF(TicketData[[#This Row],[SLA Met]]="yes","Met","Breached")</f>
        <v>Breached</v>
      </c>
    </row>
    <row r="86" spans="1:12" x14ac:dyDescent="0.25">
      <c r="A86" s="12" t="s">
        <v>178</v>
      </c>
      <c r="B86" s="1" t="s">
        <v>179</v>
      </c>
      <c r="C86" s="1" t="s">
        <v>12</v>
      </c>
      <c r="D86" s="8" t="s">
        <v>58</v>
      </c>
      <c r="E86" s="1" t="s">
        <v>27</v>
      </c>
      <c r="F86" s="1" t="s">
        <v>71</v>
      </c>
      <c r="G86" s="1" t="s">
        <v>16</v>
      </c>
      <c r="H86" s="1" t="s">
        <v>24</v>
      </c>
      <c r="I86" s="1" t="s">
        <v>179</v>
      </c>
      <c r="J86" s="6" t="s">
        <v>29</v>
      </c>
      <c r="K86" s="27" t="str">
        <f>TEXT(TicketData[[#This Row],[Date Raised]],"MMM YYYY")</f>
        <v>Mar 2025</v>
      </c>
      <c r="L86" s="27" t="str">
        <f>IF(TicketData[[#This Row],[SLA Met]]="yes","Met","Breached")</f>
        <v>Met</v>
      </c>
    </row>
    <row r="87" spans="1:12" x14ac:dyDescent="0.25">
      <c r="A87" s="13" t="s">
        <v>180</v>
      </c>
      <c r="B87" s="4" t="s">
        <v>142</v>
      </c>
      <c r="C87" s="4" t="s">
        <v>36</v>
      </c>
      <c r="D87" s="5" t="s">
        <v>21</v>
      </c>
      <c r="E87" s="4" t="s">
        <v>46</v>
      </c>
      <c r="F87" s="4" t="s">
        <v>71</v>
      </c>
      <c r="G87" s="4" t="s">
        <v>43</v>
      </c>
      <c r="H87" s="4" t="s">
        <v>24</v>
      </c>
      <c r="I87" s="4"/>
      <c r="J87" s="3" t="s">
        <v>18</v>
      </c>
      <c r="K87" s="27" t="str">
        <f>TEXT(TicketData[[#This Row],[Date Raised]],"MMM YYYY")</f>
        <v>Mar 2025</v>
      </c>
      <c r="L87" s="27" t="str">
        <f>IF(TicketData[[#This Row],[SLA Met]]="yes","Met","Breached")</f>
        <v>Breached</v>
      </c>
    </row>
    <row r="88" spans="1:12" x14ac:dyDescent="0.25">
      <c r="A88" s="12" t="s">
        <v>181</v>
      </c>
      <c r="B88" s="1" t="s">
        <v>182</v>
      </c>
      <c r="C88" s="1" t="s">
        <v>36</v>
      </c>
      <c r="D88" s="8" t="s">
        <v>58</v>
      </c>
      <c r="E88" s="1" t="s">
        <v>27</v>
      </c>
      <c r="F88" s="1" t="s">
        <v>22</v>
      </c>
      <c r="G88" s="1" t="s">
        <v>53</v>
      </c>
      <c r="H88" s="1" t="s">
        <v>24</v>
      </c>
      <c r="I88" s="1" t="s">
        <v>182</v>
      </c>
      <c r="J88" s="6" t="s">
        <v>29</v>
      </c>
      <c r="K88" s="27" t="str">
        <f>TEXT(TicketData[[#This Row],[Date Raised]],"MMM YYYY")</f>
        <v>Mar 2025</v>
      </c>
      <c r="L88" s="27" t="str">
        <f>IF(TicketData[[#This Row],[SLA Met]]="yes","Met","Breached")</f>
        <v>Met</v>
      </c>
    </row>
    <row r="89" spans="1:12" x14ac:dyDescent="0.25">
      <c r="A89" s="13" t="s">
        <v>183</v>
      </c>
      <c r="B89" s="4" t="s">
        <v>184</v>
      </c>
      <c r="C89" s="4" t="s">
        <v>79</v>
      </c>
      <c r="D89" s="5" t="s">
        <v>21</v>
      </c>
      <c r="E89" s="4" t="s">
        <v>42</v>
      </c>
      <c r="F89" s="4" t="s">
        <v>47</v>
      </c>
      <c r="G89" s="4" t="s">
        <v>38</v>
      </c>
      <c r="H89" s="4" t="s">
        <v>24</v>
      </c>
      <c r="I89" s="4"/>
      <c r="J89" s="3" t="s">
        <v>18</v>
      </c>
      <c r="K89" s="27" t="str">
        <f>TEXT(TicketData[[#This Row],[Date Raised]],"MMM YYYY")</f>
        <v>Mar 2025</v>
      </c>
      <c r="L89" s="27" t="str">
        <f>IF(TicketData[[#This Row],[SLA Met]]="yes","Met","Breached")</f>
        <v>Breached</v>
      </c>
    </row>
    <row r="90" spans="1:12" x14ac:dyDescent="0.25">
      <c r="A90" s="12" t="s">
        <v>185</v>
      </c>
      <c r="B90" s="1" t="s">
        <v>186</v>
      </c>
      <c r="C90" s="1" t="s">
        <v>67</v>
      </c>
      <c r="D90" s="8" t="s">
        <v>58</v>
      </c>
      <c r="E90" s="1" t="s">
        <v>27</v>
      </c>
      <c r="F90" s="1" t="s">
        <v>47</v>
      </c>
      <c r="G90" s="1" t="s">
        <v>53</v>
      </c>
      <c r="H90" s="1" t="s">
        <v>24</v>
      </c>
      <c r="I90" s="1" t="s">
        <v>186</v>
      </c>
      <c r="J90" s="6" t="s">
        <v>29</v>
      </c>
      <c r="K90" s="27" t="str">
        <f>TEXT(TicketData[[#This Row],[Date Raised]],"MMM YYYY")</f>
        <v>Feb 2025</v>
      </c>
      <c r="L90" s="27" t="str">
        <f>IF(TicketData[[#This Row],[SLA Met]]="yes","Met","Breached")</f>
        <v>Met</v>
      </c>
    </row>
    <row r="91" spans="1:12" x14ac:dyDescent="0.25">
      <c r="A91" s="13" t="s">
        <v>187</v>
      </c>
      <c r="B91" s="4" t="s">
        <v>55</v>
      </c>
      <c r="C91" s="4" t="s">
        <v>36</v>
      </c>
      <c r="D91" s="5" t="s">
        <v>21</v>
      </c>
      <c r="E91" s="4" t="s">
        <v>27</v>
      </c>
      <c r="F91" s="4" t="s">
        <v>28</v>
      </c>
      <c r="G91" s="4" t="s">
        <v>38</v>
      </c>
      <c r="H91" s="4" t="s">
        <v>17</v>
      </c>
      <c r="I91" s="4" t="s">
        <v>55</v>
      </c>
      <c r="J91" s="6" t="s">
        <v>29</v>
      </c>
      <c r="K91" s="27" t="str">
        <f>TEXT(TicketData[[#This Row],[Date Raised]],"MMM YYYY")</f>
        <v>Mar 2025</v>
      </c>
      <c r="L91" s="27" t="str">
        <f>IF(TicketData[[#This Row],[SLA Met]]="yes","Met","Breached")</f>
        <v>Met</v>
      </c>
    </row>
    <row r="92" spans="1:12" x14ac:dyDescent="0.25">
      <c r="A92" s="12" t="s">
        <v>188</v>
      </c>
      <c r="B92" s="1" t="s">
        <v>189</v>
      </c>
      <c r="C92" s="1" t="s">
        <v>67</v>
      </c>
      <c r="D92" s="5" t="s">
        <v>21</v>
      </c>
      <c r="E92" s="1" t="s">
        <v>42</v>
      </c>
      <c r="F92" s="1" t="s">
        <v>71</v>
      </c>
      <c r="G92" s="1" t="s">
        <v>43</v>
      </c>
      <c r="H92" s="1" t="s">
        <v>17</v>
      </c>
      <c r="I92" s="1"/>
      <c r="J92" s="3" t="s">
        <v>18</v>
      </c>
      <c r="K92" s="27" t="str">
        <f>TEXT(TicketData[[#This Row],[Date Raised]],"MMM YYYY")</f>
        <v>Mar 2025</v>
      </c>
      <c r="L92" s="27" t="str">
        <f>IF(TicketData[[#This Row],[SLA Met]]="yes","Met","Breached")</f>
        <v>Breached</v>
      </c>
    </row>
    <row r="93" spans="1:12" x14ac:dyDescent="0.25">
      <c r="A93" s="13" t="s">
        <v>190</v>
      </c>
      <c r="B93" s="4" t="s">
        <v>96</v>
      </c>
      <c r="C93" s="4" t="s">
        <v>36</v>
      </c>
      <c r="D93" s="2" t="s">
        <v>13</v>
      </c>
      <c r="E93" s="4" t="s">
        <v>42</v>
      </c>
      <c r="F93" s="4" t="s">
        <v>28</v>
      </c>
      <c r="G93" s="4" t="s">
        <v>53</v>
      </c>
      <c r="H93" s="4" t="s">
        <v>24</v>
      </c>
      <c r="I93" s="4"/>
      <c r="J93" s="3" t="s">
        <v>18</v>
      </c>
      <c r="K93" s="27" t="str">
        <f>TEXT(TicketData[[#This Row],[Date Raised]],"MMM YYYY")</f>
        <v>Jan 2025</v>
      </c>
      <c r="L93" s="27" t="str">
        <f>IF(TicketData[[#This Row],[SLA Met]]="yes","Met","Breached")</f>
        <v>Breached</v>
      </c>
    </row>
    <row r="94" spans="1:12" x14ac:dyDescent="0.25">
      <c r="A94" s="12" t="s">
        <v>191</v>
      </c>
      <c r="B94" s="1" t="s">
        <v>192</v>
      </c>
      <c r="C94" s="1" t="s">
        <v>79</v>
      </c>
      <c r="D94" s="5" t="s">
        <v>21</v>
      </c>
      <c r="E94" s="1" t="s">
        <v>27</v>
      </c>
      <c r="F94" s="1" t="s">
        <v>37</v>
      </c>
      <c r="G94" s="1" t="s">
        <v>23</v>
      </c>
      <c r="H94" s="1" t="s">
        <v>24</v>
      </c>
      <c r="I94" s="1" t="s">
        <v>192</v>
      </c>
      <c r="J94" s="6" t="s">
        <v>29</v>
      </c>
      <c r="K94" s="27" t="str">
        <f>TEXT(TicketData[[#This Row],[Date Raised]],"MMM YYYY")</f>
        <v>Mar 2025</v>
      </c>
      <c r="L94" s="27" t="str">
        <f>IF(TicketData[[#This Row],[SLA Met]]="yes","Met","Breached")</f>
        <v>Met</v>
      </c>
    </row>
    <row r="95" spans="1:12" x14ac:dyDescent="0.25">
      <c r="A95" s="13" t="s">
        <v>193</v>
      </c>
      <c r="B95" s="4" t="s">
        <v>194</v>
      </c>
      <c r="C95" s="4" t="s">
        <v>36</v>
      </c>
      <c r="D95" s="8" t="s">
        <v>58</v>
      </c>
      <c r="E95" s="4" t="s">
        <v>27</v>
      </c>
      <c r="F95" s="4" t="s">
        <v>22</v>
      </c>
      <c r="G95" s="4" t="s">
        <v>16</v>
      </c>
      <c r="H95" s="4" t="s">
        <v>24</v>
      </c>
      <c r="I95" s="4" t="s">
        <v>194</v>
      </c>
      <c r="J95" s="6" t="s">
        <v>29</v>
      </c>
      <c r="K95" s="27" t="str">
        <f>TEXT(TicketData[[#This Row],[Date Raised]],"MMM YYYY")</f>
        <v>Feb 2025</v>
      </c>
      <c r="L95" s="27" t="str">
        <f>IF(TicketData[[#This Row],[SLA Met]]="yes","Met","Breached")</f>
        <v>Met</v>
      </c>
    </row>
    <row r="96" spans="1:12" x14ac:dyDescent="0.25">
      <c r="A96" s="12" t="s">
        <v>195</v>
      </c>
      <c r="B96" s="1" t="s">
        <v>196</v>
      </c>
      <c r="C96" s="1" t="s">
        <v>67</v>
      </c>
      <c r="D96" s="2" t="s">
        <v>13</v>
      </c>
      <c r="E96" s="1" t="s">
        <v>27</v>
      </c>
      <c r="F96" s="1" t="s">
        <v>71</v>
      </c>
      <c r="G96" s="1" t="s">
        <v>53</v>
      </c>
      <c r="H96" s="1" t="s">
        <v>24</v>
      </c>
      <c r="I96" s="1" t="s">
        <v>55</v>
      </c>
      <c r="J96" s="7" t="s">
        <v>39</v>
      </c>
      <c r="K96" s="27" t="str">
        <f>TEXT(TicketData[[#This Row],[Date Raised]],"MMM YYYY")</f>
        <v>Mar 2025</v>
      </c>
      <c r="L96" s="27" t="str">
        <f>IF(TicketData[[#This Row],[SLA Met]]="yes","Met","Breached")</f>
        <v>Breached</v>
      </c>
    </row>
    <row r="97" spans="1:12" x14ac:dyDescent="0.25">
      <c r="A97" s="13" t="s">
        <v>197</v>
      </c>
      <c r="B97" s="4" t="s">
        <v>102</v>
      </c>
      <c r="C97" s="4" t="s">
        <v>67</v>
      </c>
      <c r="D97" s="8" t="s">
        <v>58</v>
      </c>
      <c r="E97" s="4" t="s">
        <v>27</v>
      </c>
      <c r="F97" s="4" t="s">
        <v>15</v>
      </c>
      <c r="G97" s="4" t="s">
        <v>38</v>
      </c>
      <c r="H97" s="4" t="s">
        <v>17</v>
      </c>
      <c r="I97" s="4" t="s">
        <v>102</v>
      </c>
      <c r="J97" s="6" t="s">
        <v>29</v>
      </c>
      <c r="K97" s="27" t="str">
        <f>TEXT(TicketData[[#This Row],[Date Raised]],"MMM YYYY")</f>
        <v>Feb 2025</v>
      </c>
      <c r="L97" s="27" t="str">
        <f>IF(TicketData[[#This Row],[SLA Met]]="yes","Met","Breached")</f>
        <v>Met</v>
      </c>
    </row>
    <row r="98" spans="1:12" x14ac:dyDescent="0.25">
      <c r="A98" s="12" t="s">
        <v>198</v>
      </c>
      <c r="B98" s="1" t="s">
        <v>45</v>
      </c>
      <c r="C98" s="1" t="s">
        <v>36</v>
      </c>
      <c r="D98" s="5" t="s">
        <v>21</v>
      </c>
      <c r="E98" s="1" t="s">
        <v>27</v>
      </c>
      <c r="F98" s="1" t="s">
        <v>71</v>
      </c>
      <c r="G98" s="1" t="s">
        <v>38</v>
      </c>
      <c r="H98" s="1" t="s">
        <v>17</v>
      </c>
      <c r="I98" s="1" t="s">
        <v>45</v>
      </c>
      <c r="J98" s="6" t="s">
        <v>29</v>
      </c>
      <c r="K98" s="27" t="str">
        <f>TEXT(TicketData[[#This Row],[Date Raised]],"MMM YYYY")</f>
        <v>Mar 2025</v>
      </c>
      <c r="L98" s="27" t="str">
        <f>IF(TicketData[[#This Row],[SLA Met]]="yes","Met","Breached")</f>
        <v>Met</v>
      </c>
    </row>
    <row r="99" spans="1:12" x14ac:dyDescent="0.25">
      <c r="A99" s="13" t="s">
        <v>199</v>
      </c>
      <c r="B99" s="4" t="s">
        <v>200</v>
      </c>
      <c r="C99" s="4" t="s">
        <v>32</v>
      </c>
      <c r="D99" s="8" t="s">
        <v>58</v>
      </c>
      <c r="E99" s="4" t="s">
        <v>27</v>
      </c>
      <c r="F99" s="4" t="s">
        <v>33</v>
      </c>
      <c r="G99" s="4" t="s">
        <v>53</v>
      </c>
      <c r="H99" s="4" t="s">
        <v>24</v>
      </c>
      <c r="I99" s="4" t="s">
        <v>200</v>
      </c>
      <c r="J99" s="6" t="s">
        <v>29</v>
      </c>
      <c r="K99" s="27" t="str">
        <f>TEXT(TicketData[[#This Row],[Date Raised]],"MMM YYYY")</f>
        <v>Mar 2025</v>
      </c>
      <c r="L99" s="27" t="str">
        <f>IF(TicketData[[#This Row],[SLA Met]]="yes","Met","Breached")</f>
        <v>Met</v>
      </c>
    </row>
    <row r="100" spans="1:12" x14ac:dyDescent="0.25">
      <c r="A100" s="12" t="s">
        <v>201</v>
      </c>
      <c r="B100" s="1" t="s">
        <v>98</v>
      </c>
      <c r="C100" s="1" t="s">
        <v>32</v>
      </c>
      <c r="D100" s="2" t="s">
        <v>13</v>
      </c>
      <c r="E100" s="1" t="s">
        <v>46</v>
      </c>
      <c r="F100" s="1" t="s">
        <v>33</v>
      </c>
      <c r="G100" s="1" t="s">
        <v>16</v>
      </c>
      <c r="H100" s="1" t="s">
        <v>17</v>
      </c>
      <c r="I100" s="1"/>
      <c r="J100" s="3" t="s">
        <v>18</v>
      </c>
      <c r="K100" s="27" t="str">
        <f>TEXT(TicketData[[#This Row],[Date Raised]],"MMM YYYY")</f>
        <v>Feb 2025</v>
      </c>
      <c r="L100" s="27" t="str">
        <f>IF(TicketData[[#This Row],[SLA Met]]="yes","Met","Breached")</f>
        <v>Breached</v>
      </c>
    </row>
    <row r="101" spans="1:12" x14ac:dyDescent="0.25">
      <c r="A101" s="16" t="s">
        <v>202</v>
      </c>
      <c r="B101" s="17" t="s">
        <v>184</v>
      </c>
      <c r="C101" s="17" t="s">
        <v>36</v>
      </c>
      <c r="D101" s="18" t="s">
        <v>13</v>
      </c>
      <c r="E101" s="17" t="s">
        <v>27</v>
      </c>
      <c r="F101" s="17" t="s">
        <v>22</v>
      </c>
      <c r="G101" s="17" t="s">
        <v>23</v>
      </c>
      <c r="H101" s="17" t="s">
        <v>24</v>
      </c>
      <c r="I101" s="17" t="s">
        <v>184</v>
      </c>
      <c r="J101" s="19" t="s">
        <v>29</v>
      </c>
      <c r="K101" s="29" t="str">
        <f>TEXT(TicketData[[#This Row],[Date Raised]],"MMM YYYY")</f>
        <v>Mar 2025</v>
      </c>
      <c r="L101" s="29" t="str">
        <f>IF(TicketData[[#This Row],[SLA Met]]="yes","Met","Breached")</f>
        <v>Met</v>
      </c>
    </row>
  </sheetData>
  <pageMargins left="0.75" right="0.75" top="1" bottom="1"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9D3AF-9C37-46EA-A7B9-222BCF1EB74A}">
  <dimension ref="C2:F12"/>
  <sheetViews>
    <sheetView workbookViewId="0">
      <selection activeCell="F5" sqref="F5"/>
    </sheetView>
  </sheetViews>
  <sheetFormatPr defaultRowHeight="15" x14ac:dyDescent="0.25"/>
  <sheetData>
    <row r="2" spans="3:6" x14ac:dyDescent="0.25">
      <c r="C2" t="s">
        <v>203</v>
      </c>
      <c r="F2">
        <f>COUNTA([1]!TicketData[Ticket ID])</f>
        <v>100</v>
      </c>
    </row>
    <row r="3" spans="3:6" x14ac:dyDescent="0.25">
      <c r="C3" t="s">
        <v>204</v>
      </c>
      <c r="F3">
        <f>COUNTIF([1]!TicketData[Status],"Closed")</f>
        <v>56</v>
      </c>
    </row>
    <row r="4" spans="3:6" x14ac:dyDescent="0.25">
      <c r="C4" t="s">
        <v>212</v>
      </c>
      <c r="F4" s="11">
        <f>F3/F2</f>
        <v>0.56000000000000005</v>
      </c>
    </row>
    <row r="5" spans="3:6" x14ac:dyDescent="0.25">
      <c r="C5" t="s">
        <v>213</v>
      </c>
      <c r="F5">
        <f>COUNTIF([1]!TicketData[Status],"Open")+COUNTIF([1]!TicketData[Status],"Pending Reporter")</f>
        <v>32</v>
      </c>
    </row>
    <row r="6" spans="3:6" x14ac:dyDescent="0.25">
      <c r="C6" t="s">
        <v>205</v>
      </c>
      <c r="F6" s="11">
        <f>COUNTIF([1]!TicketData[SLA Met],"Yes")/COUNTIF([1]!TicketData[SLA Met],"&lt;&gt;Pending")</f>
        <v>0.8392857142857143</v>
      </c>
    </row>
    <row r="7" spans="3:6" x14ac:dyDescent="0.25">
      <c r="C7" t="s">
        <v>214</v>
      </c>
      <c r="F7" s="11">
        <f>COUNTIFS([1]!TicketData[SLA Type],"Same-Day",[1]!TicketData[SLA Met],"Yes")/COUNTIFS([1]!TicketData[SLA Type],"Same-Day",[1]!TicketData[SLA Met],"&lt;&gt;Pending")</f>
        <v>0.83333333333333337</v>
      </c>
    </row>
    <row r="8" spans="3:6" x14ac:dyDescent="0.25">
      <c r="C8" t="s">
        <v>215</v>
      </c>
      <c r="F8" s="11">
        <f>COUNTIFS([1]!TicketData[SLA Type],"24-Hour",[1]!TicketData[SLA Met],"Yes")/COUNTIFS([1]!TicketData[SLA Type],"24-Hour",[1]!TicketData[SLA Met],"&lt;&gt;Pending")</f>
        <v>0.84375</v>
      </c>
    </row>
    <row r="12" spans="3:6" x14ac:dyDescent="0.25">
      <c r="C12" t="s">
        <v>226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F9B84-52C2-4AC4-931B-46322BDC1E1A}">
  <dimension ref="A2:I40"/>
  <sheetViews>
    <sheetView workbookViewId="0">
      <selection activeCell="T20" sqref="T20"/>
    </sheetView>
  </sheetViews>
  <sheetFormatPr defaultRowHeight="15" x14ac:dyDescent="0.25"/>
  <cols>
    <col min="1" max="1" width="13.140625" bestFit="1" customWidth="1"/>
    <col min="2" max="2" width="16.7109375" bestFit="1" customWidth="1"/>
    <col min="3" max="3" width="4.5703125" bestFit="1" customWidth="1"/>
    <col min="4" max="4" width="8.5703125" bestFit="1" customWidth="1"/>
    <col min="5" max="5" width="11.28515625" bestFit="1" customWidth="1"/>
    <col min="6" max="6" width="16.28515625" bestFit="1" customWidth="1"/>
    <col min="7" max="7" width="8.28515625" bestFit="1" customWidth="1"/>
    <col min="8" max="8" width="13.140625" bestFit="1" customWidth="1"/>
    <col min="9" max="9" width="16.7109375" bestFit="1" customWidth="1"/>
  </cols>
  <sheetData>
    <row r="2" spans="1:9" ht="21" x14ac:dyDescent="0.35">
      <c r="A2" s="9" t="s">
        <v>218</v>
      </c>
      <c r="E2" s="9" t="s">
        <v>219</v>
      </c>
    </row>
    <row r="4" spans="1:9" x14ac:dyDescent="0.25">
      <c r="A4" s="20" t="s">
        <v>206</v>
      </c>
      <c r="B4" t="s">
        <v>208</v>
      </c>
      <c r="E4" s="20" t="s">
        <v>208</v>
      </c>
      <c r="F4" s="20" t="s">
        <v>209</v>
      </c>
    </row>
    <row r="5" spans="1:9" x14ac:dyDescent="0.25">
      <c r="A5" s="21" t="s">
        <v>27</v>
      </c>
      <c r="B5" s="31">
        <v>56</v>
      </c>
      <c r="E5" s="20" t="s">
        <v>206</v>
      </c>
      <c r="F5" t="s">
        <v>39</v>
      </c>
      <c r="G5" t="s">
        <v>18</v>
      </c>
      <c r="H5" t="s">
        <v>29</v>
      </c>
      <c r="I5" t="s">
        <v>207</v>
      </c>
    </row>
    <row r="6" spans="1:9" x14ac:dyDescent="0.25">
      <c r="A6" s="21" t="s">
        <v>46</v>
      </c>
      <c r="B6" s="31">
        <v>12</v>
      </c>
      <c r="E6" s="21" t="s">
        <v>24</v>
      </c>
      <c r="F6" s="31">
        <v>5</v>
      </c>
      <c r="G6" s="31">
        <v>25</v>
      </c>
      <c r="H6" s="31">
        <v>27</v>
      </c>
      <c r="I6" s="31">
        <v>57</v>
      </c>
    </row>
    <row r="7" spans="1:9" x14ac:dyDescent="0.25">
      <c r="A7" s="21" t="s">
        <v>42</v>
      </c>
      <c r="B7" s="31">
        <v>17</v>
      </c>
      <c r="E7" s="21" t="s">
        <v>17</v>
      </c>
      <c r="F7" s="31">
        <v>4</v>
      </c>
      <c r="G7" s="31">
        <v>19</v>
      </c>
      <c r="H7" s="31">
        <v>20</v>
      </c>
      <c r="I7" s="31">
        <v>43</v>
      </c>
    </row>
    <row r="8" spans="1:9" x14ac:dyDescent="0.25">
      <c r="A8" s="21" t="s">
        <v>14</v>
      </c>
      <c r="B8" s="31">
        <v>15</v>
      </c>
      <c r="E8" s="21" t="s">
        <v>207</v>
      </c>
      <c r="F8" s="31">
        <v>9</v>
      </c>
      <c r="G8" s="31">
        <v>44</v>
      </c>
      <c r="H8" s="31">
        <v>47</v>
      </c>
      <c r="I8" s="31">
        <v>100</v>
      </c>
    </row>
    <row r="9" spans="1:9" x14ac:dyDescent="0.25">
      <c r="A9" s="21" t="s">
        <v>207</v>
      </c>
      <c r="B9" s="31">
        <v>100</v>
      </c>
    </row>
    <row r="13" spans="1:9" ht="21" x14ac:dyDescent="0.35">
      <c r="A13" s="9" t="s">
        <v>220</v>
      </c>
      <c r="H13" s="9" t="s">
        <v>221</v>
      </c>
    </row>
    <row r="15" spans="1:9" x14ac:dyDescent="0.25">
      <c r="A15" s="20" t="s">
        <v>208</v>
      </c>
      <c r="B15" s="20" t="s">
        <v>209</v>
      </c>
      <c r="H15" s="20" t="s">
        <v>206</v>
      </c>
      <c r="I15" t="s">
        <v>208</v>
      </c>
    </row>
    <row r="16" spans="1:9" x14ac:dyDescent="0.25">
      <c r="A16" s="20" t="s">
        <v>206</v>
      </c>
      <c r="B16" t="s">
        <v>13</v>
      </c>
      <c r="C16" t="s">
        <v>21</v>
      </c>
      <c r="D16" t="s">
        <v>58</v>
      </c>
      <c r="E16" t="s">
        <v>207</v>
      </c>
      <c r="H16" s="21" t="s">
        <v>71</v>
      </c>
      <c r="I16" s="31">
        <v>17</v>
      </c>
    </row>
    <row r="17" spans="1:9" x14ac:dyDescent="0.25">
      <c r="A17" s="21" t="s">
        <v>79</v>
      </c>
      <c r="B17" s="31">
        <v>6</v>
      </c>
      <c r="C17" s="31">
        <v>6</v>
      </c>
      <c r="D17" s="31">
        <v>1</v>
      </c>
      <c r="E17" s="31">
        <v>13</v>
      </c>
      <c r="H17" s="21" t="s">
        <v>28</v>
      </c>
      <c r="I17" s="31">
        <v>16</v>
      </c>
    </row>
    <row r="18" spans="1:9" x14ac:dyDescent="0.25">
      <c r="A18" s="21" t="s">
        <v>67</v>
      </c>
      <c r="B18" s="31">
        <v>7</v>
      </c>
      <c r="C18" s="31">
        <v>6</v>
      </c>
      <c r="D18" s="31">
        <v>3</v>
      </c>
      <c r="E18" s="31">
        <v>16</v>
      </c>
      <c r="H18" s="21" t="s">
        <v>22</v>
      </c>
      <c r="I18" s="31">
        <v>15</v>
      </c>
    </row>
    <row r="19" spans="1:9" x14ac:dyDescent="0.25">
      <c r="A19" s="21" t="s">
        <v>32</v>
      </c>
      <c r="B19" s="31">
        <v>7</v>
      </c>
      <c r="C19" s="31">
        <v>5</v>
      </c>
      <c r="D19" s="31">
        <v>7</v>
      </c>
      <c r="E19" s="31">
        <v>19</v>
      </c>
      <c r="H19" s="21" t="s">
        <v>47</v>
      </c>
      <c r="I19" s="31">
        <v>12</v>
      </c>
    </row>
    <row r="20" spans="1:9" x14ac:dyDescent="0.25">
      <c r="A20" s="21" t="s">
        <v>12</v>
      </c>
      <c r="B20" s="31">
        <v>10</v>
      </c>
      <c r="C20" s="31">
        <v>12</v>
      </c>
      <c r="D20" s="31">
        <v>5</v>
      </c>
      <c r="E20" s="31">
        <v>27</v>
      </c>
      <c r="H20" s="21" t="s">
        <v>37</v>
      </c>
      <c r="I20" s="31">
        <v>11</v>
      </c>
    </row>
    <row r="21" spans="1:9" x14ac:dyDescent="0.25">
      <c r="A21" s="21" t="s">
        <v>36</v>
      </c>
      <c r="B21" s="31">
        <v>10</v>
      </c>
      <c r="C21" s="31">
        <v>9</v>
      </c>
      <c r="D21" s="31">
        <v>6</v>
      </c>
      <c r="E21" s="31">
        <v>25</v>
      </c>
      <c r="H21" s="21" t="s">
        <v>52</v>
      </c>
      <c r="I21" s="31">
        <v>10</v>
      </c>
    </row>
    <row r="22" spans="1:9" x14ac:dyDescent="0.25">
      <c r="A22" s="21" t="s">
        <v>207</v>
      </c>
      <c r="B22" s="31">
        <v>40</v>
      </c>
      <c r="C22" s="31">
        <v>38</v>
      </c>
      <c r="D22" s="31">
        <v>22</v>
      </c>
      <c r="E22" s="31">
        <v>100</v>
      </c>
      <c r="H22" s="21" t="s">
        <v>15</v>
      </c>
      <c r="I22" s="31">
        <v>10</v>
      </c>
    </row>
    <row r="23" spans="1:9" x14ac:dyDescent="0.25">
      <c r="H23" s="21" t="s">
        <v>33</v>
      </c>
      <c r="I23" s="31">
        <v>9</v>
      </c>
    </row>
    <row r="24" spans="1:9" x14ac:dyDescent="0.25">
      <c r="H24" s="21" t="s">
        <v>207</v>
      </c>
      <c r="I24" s="31">
        <v>100</v>
      </c>
    </row>
    <row r="26" spans="1:9" ht="23.25" x14ac:dyDescent="0.35">
      <c r="A26" s="10" t="s">
        <v>210</v>
      </c>
    </row>
    <row r="28" spans="1:9" x14ac:dyDescent="0.25">
      <c r="A28" s="20" t="s">
        <v>206</v>
      </c>
      <c r="B28" t="s">
        <v>208</v>
      </c>
    </row>
    <row r="29" spans="1:9" x14ac:dyDescent="0.25">
      <c r="A29" s="21" t="s">
        <v>38</v>
      </c>
      <c r="B29" s="31">
        <v>25</v>
      </c>
    </row>
    <row r="30" spans="1:9" x14ac:dyDescent="0.25">
      <c r="A30" s="21" t="s">
        <v>23</v>
      </c>
      <c r="B30" s="31">
        <v>24</v>
      </c>
    </row>
    <row r="31" spans="1:9" x14ac:dyDescent="0.25">
      <c r="A31" s="21" t="s">
        <v>16</v>
      </c>
      <c r="B31" s="31">
        <v>20</v>
      </c>
    </row>
    <row r="32" spans="1:9" x14ac:dyDescent="0.25">
      <c r="A32" s="21" t="s">
        <v>43</v>
      </c>
      <c r="B32" s="31">
        <v>16</v>
      </c>
    </row>
    <row r="33" spans="1:3" x14ac:dyDescent="0.25">
      <c r="A33" s="21" t="s">
        <v>53</v>
      </c>
      <c r="B33" s="31">
        <v>15</v>
      </c>
    </row>
    <row r="34" spans="1:3" x14ac:dyDescent="0.25">
      <c r="A34" s="21" t="s">
        <v>207</v>
      </c>
      <c r="B34" s="31">
        <v>100</v>
      </c>
    </row>
    <row r="38" spans="1:3" x14ac:dyDescent="0.25">
      <c r="B38" t="s">
        <v>222</v>
      </c>
      <c r="C38" t="s">
        <v>223</v>
      </c>
    </row>
    <row r="39" spans="1:3" x14ac:dyDescent="0.25">
      <c r="A39" t="s">
        <v>224</v>
      </c>
      <c r="B39" s="11">
        <f>[1]KPI!E6</f>
        <v>0.83333333333333337</v>
      </c>
      <c r="C39" s="11">
        <f>1-[1]KPI!E6</f>
        <v>0.16666666666666663</v>
      </c>
    </row>
    <row r="40" spans="1:3" x14ac:dyDescent="0.25">
      <c r="A40" t="s">
        <v>225</v>
      </c>
      <c r="B40" s="11">
        <f>[1]KPI!E7</f>
        <v>0.84375</v>
      </c>
      <c r="C40" s="11">
        <f>1-[1]KPI!E7</f>
        <v>0.15625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Raw Data</vt:lpstr>
      <vt:lpstr>KPI</vt:lpstr>
      <vt:lpstr>Pivot Tables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Gowri Priya</cp:lastModifiedBy>
  <cp:revision>0</cp:revision>
  <dcterms:created xsi:type="dcterms:W3CDTF">2026-04-01T13:12:21Z</dcterms:created>
  <dcterms:modified xsi:type="dcterms:W3CDTF">2026-04-20T13:28:25Z</dcterms:modified>
  <dc:language>en-US</dc:language>
</cp:coreProperties>
</file>